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_Dashboard" sheetId="2" state="visible" r:id="rId4"/>
    <sheet name="1_Inputs" sheetId="3" state="visible" r:id="rId5"/>
    <sheet name="2_Revenue" sheetId="4" state="visible" r:id="rId6"/>
    <sheet name="3_IS" sheetId="5" state="visible" r:id="rId7"/>
    <sheet name="4_WC" sheetId="6" state="visible" r:id="rId8"/>
    <sheet name="5_CF" sheetId="7" state="visible" r:id="rId9"/>
    <sheet name="6_BS" sheetId="8" state="visible" r:id="rId10"/>
    <sheet name="7_Debt" sheetId="9" state="visible" r:id="rId11"/>
    <sheet name="8_CapTable" sheetId="10" state="visible" r:id="rId12"/>
    <sheet name="9_Scenarios" sheetId="11" state="visible" r:id="rId13"/>
    <sheet name="10_Sensitivity" sheetId="12" state="visible" r:id="rId14"/>
    <sheet name="11_DCF" sheetId="13" state="visible" r:id="rId15"/>
    <sheet name="12_ClinicAnalytics" sheetId="14" state="visible" r:id="rId16"/>
    <sheet name="13_Channel_Value" sheetId="15" state="visible" r:id="rId17"/>
    <sheet name="14_IP_Registry" sheetId="16" state="visible" r:id="rId18"/>
  </sheets>
  <definedNames>
    <definedName function="false" hidden="false" name="ALI_SHARES" vbProcedure="false">8_CapTable!$B$6</definedName>
    <definedName function="false" hidden="false" name="ALI_SH_TREATMENT" vbProcedure="false">1_Inputs!$B$94</definedName>
    <definedName function="false" hidden="false" name="BDC_RETIRE_MONTH" vbProcedure="false">1_Inputs!$B$97</definedName>
    <definedName function="false" hidden="false" name="BDC_STRATEGY" vbProcedure="false">1_Inputs!$B$96</definedName>
    <definedName function="false" hidden="false" name="CAP_ARRIVAL" vbProcedure="false">1_Inputs!$B$29</definedName>
    <definedName function="false" hidden="false" name="CAP_BACKLOG" vbProcedure="false">1_Inputs!$B$22</definedName>
    <definedName function="false" hidden="false" name="CAP_BACKLOG_AR" vbProcedure="false">1_Inputs!$B$23</definedName>
    <definedName function="false" hidden="false" name="CAP_CANCEL_RATE" vbProcedure="false">1_Inputs!$B$57</definedName>
    <definedName function="false" hidden="false" name="CAP_MOQ" vbProcedure="false">1_Inputs!$B$35</definedName>
    <definedName function="false" hidden="false" name="CAP_NRE" vbProcedure="false">1_Inputs!$B$34</definedName>
    <definedName function="false" hidden="false" name="CAP_PO2_COST" vbProcedure="false">1_Inputs!$B$64</definedName>
    <definedName function="false" hidden="false" name="CAP_PO2_DEP_PCT" vbProcedure="false">1_Inputs!$B$65</definedName>
    <definedName function="false" hidden="false" name="CAP_PO2_LEAD" vbProcedure="false">1_Inputs!$B$62</definedName>
    <definedName function="false" hidden="false" name="CAP_PO2_TRIGGER" vbProcedure="false">1_Inputs!$B$63</definedName>
    <definedName function="false" hidden="false" name="CAP_PO2_UNITS" vbProcedure="false">1_Inputs!$B$61</definedName>
    <definedName function="false" hidden="false" name="CAP_PO_COST" vbProcedure="false">1_Inputs!$B$25</definedName>
    <definedName function="false" hidden="false" name="CAP_PO_DEL" vbProcedure="false">1_Inputs!$B$28</definedName>
    <definedName function="false" hidden="false" name="CAP_PO_NOW" vbProcedure="false">1_Inputs!$B$27</definedName>
    <definedName function="false" hidden="false" name="CAP_PO_PAID" vbProcedure="false">1_Inputs!$B$26</definedName>
    <definedName function="false" hidden="false" name="CAP_PO_UNITS" vbProcedure="false">1_Inputs!$B$24</definedName>
    <definedName function="false" hidden="false" name="CAP_T1" vbProcedure="false">1_Inputs!$B$30</definedName>
    <definedName function="false" hidden="false" name="CAP_T1_MO" vbProcedure="false">1_Inputs!$B$31</definedName>
    <definedName function="false" hidden="false" name="CAP_T2" vbProcedure="false">1_Inputs!$B$32</definedName>
    <definedName function="false" hidden="false" name="CAP_T2_MO" vbProcedure="false">1_Inputs!$B$33</definedName>
    <definedName function="false" hidden="false" name="CEBA_FORGIVE_AMT" vbProcedure="false">1_Inputs!$B$92</definedName>
    <definedName function="false" hidden="false" name="CEBA_PAY_MONTH" vbProcedure="false">1_Inputs!$B$93</definedName>
    <definedName function="false" hidden="false" name="CLN_CAC" vbProcedure="false">1_Inputs!$B$123</definedName>
    <definedName function="false" hidden="false" name="CLN_CYCLES" vbProcedure="false">1_Inputs!$B$124</definedName>
    <definedName function="false" hidden="false" name="COST_BDC_PMT" vbProcedure="false">1_Inputs!$B$18</definedName>
    <definedName function="false" hidden="false" name="COST_BDC_RATE" vbProcedure="false">1_Inputs!$B$17</definedName>
    <definedName function="false" hidden="false" name="COST_COGS" vbProcedure="false">1_Inputs!$B$15</definedName>
    <definedName function="false" hidden="false" name="COST_OPEX" vbProcedure="false">1_Inputs!$B$16</definedName>
    <definedName function="false" hidden="false" name="COST_WED" vbProcedure="false">1_Inputs!$B$19</definedName>
    <definedName function="false" hidden="false" name="DCF_EXIT_MULT" vbProcedure="false">1_Inputs!$B$118</definedName>
    <definedName function="false" hidden="false" name="DCF_GM_PCT" vbProcedure="false">1_Inputs!$B$120</definedName>
    <definedName function="false" hidden="false" name="DCF_OPEX_PCT" vbProcedure="false">1_Inputs!$B$119</definedName>
    <definedName function="false" hidden="false" name="DCF_TGR" vbProcedure="false">1_Inputs!$B$117</definedName>
    <definedName function="false" hidden="false" name="DCF_WACC" vbProcedure="false">1_Inputs!$B$113</definedName>
    <definedName function="false" hidden="false" name="DCF_Y3G" vbProcedure="false">1_Inputs!$B$114</definedName>
    <definedName function="false" hidden="false" name="DCF_Y4G" vbProcedure="false">1_Inputs!$B$115</definedName>
    <definedName function="false" hidden="false" name="DCF_Y5G" vbProcedure="false">1_Inputs!$B$116</definedName>
    <definedName function="false" hidden="false" name="DTC_COGS_ADDER" vbProcedure="false">1_Inputs!$B$73</definedName>
    <definedName function="false" hidden="false" name="DTC_ENABLED" vbProcedure="false">1_Inputs!$B$67</definedName>
    <definedName function="false" hidden="false" name="DTC_GROWTH" vbProcedure="false">1_Inputs!$B$71</definedName>
    <definedName function="false" hidden="false" name="DTC_INITIAL" vbProcedure="false">1_Inputs!$B$70</definedName>
    <definedName function="false" hidden="false" name="DTC_LAUNCH" vbProcedure="false">1_Inputs!$B$68</definedName>
    <definedName function="false" hidden="false" name="DTC_MARKETING" vbProcedure="false">1_Inputs!$B$74</definedName>
    <definedName function="false" hidden="false" name="DTC_MAX" vbProcedure="false">1_Inputs!$B$72</definedName>
    <definedName function="false" hidden="false" name="DTC_PRICE" vbProcedure="false">1_Inputs!$B$69</definedName>
    <definedName function="false" hidden="false" name="DTC_RETURN" vbProcedure="false">1_Inputs!$B$75</definedName>
    <definedName function="false" hidden="false" name="INSTRUMENT" vbProcedure="false">1_Inputs!$B$103</definedName>
    <definedName function="false" hidden="false" name="OB_AP" vbProcedure="false">1_Inputs!$B$44</definedName>
    <definedName function="false" hidden="false" name="OB_AR" vbProcedure="false">1_Inputs!$B$39</definedName>
    <definedName function="false" hidden="false" name="OB_BDC" vbProcedure="false">1_Inputs!$B$50</definedName>
    <definedName function="false" hidden="false" name="OB_CASH" vbProcedure="false">1_Inputs!$B$38</definedName>
    <definedName function="false" hidden="false" name="OB_CC" vbProcedure="false">1_Inputs!$B$45</definedName>
    <definedName function="false" hidden="false" name="OB_CEBA" vbProcedure="false">1_Inputs!$B$91</definedName>
    <definedName function="false" hidden="false" name="OB_DR" vbProcedure="false">1_Inputs!$B$48</definedName>
    <definedName function="false" hidden="false" name="OB_FA" vbProcedure="false">1_Inputs!$B$43</definedName>
    <definedName function="false" hidden="false" name="OB_INV" vbProcedure="false">1_Inputs!$B$40</definedName>
    <definedName function="false" hidden="false" name="OB_OBE" vbProcedure="false">1_Inputs!$B$54</definedName>
    <definedName function="false" hidden="false" name="OB_OCA" vbProcedure="false">1_Inputs!$B$42</definedName>
    <definedName function="false" hidden="false" name="OB_OCL" vbProcedure="false">1_Inputs!$B$49</definedName>
    <definedName function="false" hidden="false" name="OB_OLTL" vbProcedure="false">1_Inputs!$B$52</definedName>
    <definedName function="false" hidden="false" name="OB_PRAIRIES" vbProcedure="false">1_Inputs!$B$51</definedName>
    <definedName function="false" hidden="false" name="OB_PREPAID" vbProcedure="false">1_Inputs!$B$41</definedName>
    <definedName function="false" hidden="false" name="OB_RE" vbProcedure="false">1_Inputs!$B$55</definedName>
    <definedName function="false" hidden="false" name="OB_SHARECAP" vbProcedure="false">1_Inputs!$B$53</definedName>
    <definedName function="false" hidden="false" name="OB_TAX" vbProcedure="false">1_Inputs!$B$46</definedName>
    <definedName function="false" hidden="false" name="OB_WED" vbProcedure="false">1_Inputs!$B$47</definedName>
    <definedName function="false" hidden="false" name="PC_PMT" vbProcedure="false">7_Debt!$B$12</definedName>
    <definedName function="false" hidden="false" name="PC_RATE" vbProcedure="false">1_Inputs!$B$88</definedName>
    <definedName function="false" hidden="false" name="PC_TERM" vbProcedure="false">1_Inputs!$B$87</definedName>
    <definedName function="false" hidden="false" name="PRAIRIES_START_MONTH" vbProcedure="false">1_Inputs!$B$86</definedName>
    <definedName function="false" hidden="false" name="PRAIRIES_TREATMENT" vbProcedure="false">1_Inputs!$B$89</definedName>
    <definedName function="false" hidden="false" name="PRE_MONEY_VAL" vbProcedure="false">1_Inputs!$B$102</definedName>
    <definedName function="false" hidden="false" name="RAISE_AMOUNT" vbProcedure="false">1_Inputs!$B$101</definedName>
    <definedName function="false" hidden="false" name="REV_ATTACH_PCT" vbProcedure="false">1_Inputs!$B$12</definedName>
    <definedName function="false" hidden="false" name="REV_CA_ACT" vbProcedure="false">1_Inputs!$B$6</definedName>
    <definedName function="false" hidden="false" name="REV_INIT_ORDER" vbProcedure="false">1_Inputs!$B$8</definedName>
    <definedName function="false" hidden="false" name="REV_PRICE" vbProcedure="false">1_Inputs!$B$5</definedName>
    <definedName function="false" hidden="false" name="REV_RAMP_M1" vbProcedure="false">1_Inputs!$B$58</definedName>
    <definedName function="false" hidden="false" name="REV_RAMP_M2" vbProcedure="false">1_Inputs!$B$59</definedName>
    <definedName function="false" hidden="false" name="REV_RAMP_M3" vbProcedure="false">1_Inputs!$B$60</definedName>
    <definedName function="false" hidden="false" name="REV_REORDER_LAG" vbProcedure="false">1_Inputs!$B$11</definedName>
    <definedName function="false" hidden="false" name="REV_REORDER_PROB" vbProcedure="false">1_Inputs!$B$10</definedName>
    <definedName function="false" hidden="false" name="REV_REORDER_SIZE" vbProcedure="false">1_Inputs!$B$9</definedName>
    <definedName function="false" hidden="false" name="REV_US_ACT" vbProcedure="false">1_Inputs!$B$7</definedName>
    <definedName function="false" hidden="false" name="SAAS_ADOPTION" vbProcedure="false">1_Inputs!$B$80</definedName>
    <definedName function="false" hidden="false" name="SAAS_CON_INIT" vbProcedure="false">1_Inputs!$B$82</definedName>
    <definedName function="false" hidden="false" name="SAAS_CON_PRICE" vbProcedure="false">1_Inputs!$B$83</definedName>
    <definedName function="false" hidden="false" name="SAAS_ENABLED" vbProcedure="false">1_Inputs!$B$77</definedName>
    <definedName function="false" hidden="false" name="SAAS_FEE" vbProcedure="false">1_Inputs!$B$79</definedName>
    <definedName function="false" hidden="false" name="SAAS_LAUNCH" vbProcedure="false">1_Inputs!$B$78</definedName>
    <definedName function="false" hidden="false" name="SAAS_MARGIN" vbProcedure="false">1_Inputs!$B$84</definedName>
    <definedName function="false" hidden="false" name="SAAS_RAMP" vbProcedure="false">1_Inputs!$B$81</definedName>
    <definedName function="false" hidden="false" name="SAFE_DISCOUNT" vbProcedure="false">1_Inputs!$B$104</definedName>
    <definedName function="false" hidden="false" name="SAFE_VAL_CAP" vbProcedure="false">1_Inputs!$B$105</definedName>
    <definedName function="false" hidden="false" name="SHARMIN_SHARES" vbProcedure="false">8_CapTable!$B$7</definedName>
    <definedName function="false" hidden="false" name="SHARMIN_SH_TREATMENT" vbProcedure="false">1_Inputs!$B$95</definedName>
    <definedName function="false" hidden="false" name="TOTAL_SHARES_PRE" vbProcedure="false">8_CapTable!$B$25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<sst xmlns="http://schemas.openxmlformats.org/spreadsheetml/2006/main" count="1528" uniqueCount="1159">
  <si>
    <t xml:space="preserve">UMAY CARE — FINANCIAL MODEL v8  ·  README</t>
  </si>
  <si>
    <t xml:space="preserve">18-Month Forecast  ·  Jan 2026 → Jun 2027  ·  All figures in CAD  ·  Author: Ali + Claude  ·  Last validated: Feb 23, 2026</t>
  </si>
  <si>
    <t xml:space="preserve">📋  PROJECT OVERVIEW</t>
  </si>
  <si>
    <t xml:space="preserve">Purpose</t>
  </si>
  <si>
    <t xml:space="preserve">18-month forecast supporting $2M CAD fundraise for Umay Care Holdings Inc.</t>
  </si>
  <si>
    <t xml:space="preserve">Company</t>
  </si>
  <si>
    <t xml:space="preserve">Health Canada-approved medical device — thermal therapy for dry eye disease</t>
  </si>
  <si>
    <t xml:space="preserve">Model Type</t>
  </si>
  <si>
    <t xml:space="preserve">3-statement integrated model (IS → CF → BS) with scenario engine, DCF, and cap table</t>
  </si>
  <si>
    <t xml:space="preserve">Version</t>
  </si>
  <si>
    <t xml:space="preserve">v8 — Phase 8 of 8 complete. 3,376 formulas, 101 named ranges, 15 tabs, zero errors.</t>
  </si>
  <si>
    <t xml:space="preserve">Validation</t>
  </si>
  <si>
    <t xml:space="preserve">18 automated gates × 18 months = 324 checks. All passing.</t>
  </si>
  <si>
    <t xml:space="preserve">📝  VERSION HISTORY</t>
  </si>
  <si>
    <t xml:space="preserve">Phase</t>
  </si>
  <si>
    <t xml:space="preserve">What Changed</t>
  </si>
  <si>
    <t xml:space="preserve">v1</t>
  </si>
  <si>
    <t xml:space="preserve">Phase 1</t>
  </si>
  <si>
    <t xml:space="preserve">Core 3-statement model, working capital, 18 QB opening balances, bridge tranches</t>
  </si>
  <si>
    <t xml:space="preserve">v2a</t>
  </si>
  <si>
    <t xml:space="preserve">Phase 2a</t>
  </si>
  <si>
    <t xml:space="preserve">Stockout clamp, ramp taper (4→8→13), backlog cancellation, PO2 logic</t>
  </si>
  <si>
    <t xml:space="preserve">v2b</t>
  </si>
  <si>
    <t xml:space="preserve">Phase 2b</t>
  </si>
  <si>
    <t xml:space="preserve">DTC and SaaS revenue toggles, shared inventory priority (clinic-first)</t>
  </si>
  <si>
    <t xml:space="preserve">v3</t>
  </si>
  <si>
    <t xml:space="preserve">Phase 3</t>
  </si>
  <si>
    <t xml:space="preserve">PrairiesCan amortization, CEBA balloon, BDC RETIRE toggle, WED accrual freeze</t>
  </si>
  <si>
    <t xml:space="preserve">v4</t>
  </si>
  <si>
    <t xml:space="preserve">Phase 4</t>
  </si>
  <si>
    <t xml:space="preserve">Cap table (18 shareholders), SAFE/convertible modeling, liquidation waterfall</t>
  </si>
  <si>
    <t xml:space="preserve">v5</t>
  </si>
  <si>
    <t xml:space="preserve">Phase 5</t>
  </si>
  <si>
    <t xml:space="preserve">Scenario engine (BEAR/BASE/BULL/POST_ACQUISITION), sensitivity inputs</t>
  </si>
  <si>
    <t xml:space="preserve">v6</t>
  </si>
  <si>
    <t xml:space="preserve">Phase 6</t>
  </si>
  <si>
    <t xml:space="preserve">Two-tier DCF (floor + funded), clinic analytics (LTV:CAC), Gordon Growth + exit multiple</t>
  </si>
  <si>
    <t xml:space="preserve">v7</t>
  </si>
  <si>
    <t xml:space="preserve">Phase 7</t>
  </si>
  <si>
    <t xml:space="preserve">0_Dashboard: 36 KPIs, 18 validation gates, actuals vs. forecast variance rows</t>
  </si>
  <si>
    <t xml:space="preserve">v8 ✓</t>
  </si>
  <si>
    <t xml:space="preserve">Phase 8</t>
  </si>
  <si>
    <t xml:space="preserve">Channel value analysis, IP registry, final consolidation. CURRENT VERSION.</t>
  </si>
  <si>
    <t xml:space="preserve">🗂  STRUCTURE &amp; NAVIGATION</t>
  </si>
  <si>
    <t xml:space="preserve">Tab</t>
  </si>
  <si>
    <t xml:space="preserve">Type</t>
  </si>
  <si>
    <t xml:space="preserve">0_Dashboard</t>
  </si>
  <si>
    <t xml:space="preserve">Executive summary: 36 KPIs, revenue mix, 18 validation gates</t>
  </si>
  <si>
    <t xml:space="preserve">Output</t>
  </si>
  <si>
    <t xml:space="preserve">1_Inputs</t>
  </si>
  <si>
    <t xml:space="preserve">All assumptions (131 rows). THE ONLY TAB YOU EDIT.</t>
  </si>
  <si>
    <t xml:space="preserve">Input</t>
  </si>
  <si>
    <t xml:space="preserve">2_Revenue</t>
  </si>
  <si>
    <t xml:space="preserve">Clinic, DTC, SaaS revenue engines with inventory constraints</t>
  </si>
  <si>
    <t xml:space="preserve">Calculation</t>
  </si>
  <si>
    <t xml:space="preserve">3_IS</t>
  </si>
  <si>
    <t xml:space="preserve">Income Statement with actuals variance rows</t>
  </si>
  <si>
    <t xml:space="preserve">4_WC</t>
  </si>
  <si>
    <t xml:space="preserve">Working capital: AR, inventory, deferred revenue, PO deposits</t>
  </si>
  <si>
    <t xml:space="preserve">5_CF</t>
  </si>
  <si>
    <t xml:space="preserve">Cash Flow Statement (operating, investing, financing)</t>
  </si>
  <si>
    <t xml:space="preserve">6_BS</t>
  </si>
  <si>
    <t xml:space="preserve">Balance Sheet with 18 embedded validation gates</t>
  </si>
  <si>
    <t xml:space="preserve">7_Debt</t>
  </si>
  <si>
    <t xml:space="preserve">BDC amortization, PrairiesCan schedule, CEBA balloon</t>
  </si>
  <si>
    <t xml:space="preserve">8_CapTable</t>
  </si>
  <si>
    <t xml:space="preserve">18 shareholders, pre/post-bridge ownership, SAFE, exit waterfall</t>
  </si>
  <si>
    <t xml:space="preserve">Analysis</t>
  </si>
  <si>
    <t xml:space="preserve">9_Scenarios</t>
  </si>
  <si>
    <t xml:space="preserve">BEAR / BASE / BULL / POST_ACQUISITION preset matrix</t>
  </si>
  <si>
    <t xml:space="preserve">Reference</t>
  </si>
  <si>
    <t xml:space="preserve">10_Sensitivity</t>
  </si>
  <si>
    <t xml:space="preserve">Tornado analysis inputs (±20% on 5 key drivers)</t>
  </si>
  <si>
    <t xml:space="preserve">11_DCF</t>
  </si>
  <si>
    <t xml:space="preserve">Two-tier DCF: monthly M1–M17 + annual Y2–Y5, terminal value</t>
  </si>
  <si>
    <t xml:space="preserve">12_ClinicAnalytics</t>
  </si>
  <si>
    <t xml:space="preserve">LTV:CAC, cohort decay, GP per clinic, reorder economics</t>
  </si>
  <si>
    <t xml:space="preserve">13_Channel_Value</t>
  </si>
  <si>
    <t xml:space="preserve">Acquirer distribution modeling, strategic premium</t>
  </si>
  <si>
    <t xml:space="preserve">14_IP_Registry</t>
  </si>
  <si>
    <t xml:space="preserve">IP and regulatory asset inventory</t>
  </si>
  <si>
    <t xml:space="preserve">Color Conventions</t>
  </si>
  <si>
    <t xml:space="preserve">Blue text</t>
  </si>
  <si>
    <t xml:space="preserve">Editable inputs (all on 1_Inputs)</t>
  </si>
  <si>
    <t xml:space="preserve">Black text</t>
  </si>
  <si>
    <t xml:space="preserve">Formulas — do not overwrite</t>
  </si>
  <si>
    <t xml:space="preserve">Yellow background</t>
  </si>
  <si>
    <t xml:space="preserve">Actuals entry rows (for monthly tracking)</t>
  </si>
  <si>
    <t xml:space="preserve">Green cells</t>
  </si>
  <si>
    <t xml:space="preserve">Validation PASS</t>
  </si>
  <si>
    <t xml:space="preserve">Red cells</t>
  </si>
  <si>
    <t xml:space="preserve">Validation FAIL</t>
  </si>
  <si>
    <t xml:space="preserve">⚠  CRITICAL RULE</t>
  </si>
  <si>
    <t xml:space="preserve">Only edit cells on 1_Inputs. Every other tab is formula-driven. Overwriting a formula cell will break cross-tab integrity.</t>
  </si>
  <si>
    <t xml:space="preserve">📊  DATA SOURCES &amp; ASSUMPTIONS</t>
  </si>
  <si>
    <t xml:space="preserve">Opening Balances (M0 = Jan 1, 2026) — Source: QuickBooks Online, exported Jan 18, 2026</t>
  </si>
  <si>
    <t xml:space="preserve">Item</t>
  </si>
  <si>
    <t xml:space="preserve">Value (CAD)</t>
  </si>
  <si>
    <t xml:space="preserve">Source</t>
  </si>
  <si>
    <t xml:space="preserve">Cash</t>
  </si>
  <si>
    <t xml:space="preserve">-$7,543</t>
  </si>
  <si>
    <t xml:space="preserve">QBO Balance Sheet</t>
  </si>
  <si>
    <t xml:space="preserve">Accounts Receivable</t>
  </si>
  <si>
    <t xml:space="preserve">$369,366</t>
  </si>
  <si>
    <t xml:space="preserve">QBO (includes $235K backlog AR)</t>
  </si>
  <si>
    <t xml:space="preserve">Inventory</t>
  </si>
  <si>
    <t xml:space="preserve">$3,688</t>
  </si>
  <si>
    <t xml:space="preserve">QBO</t>
  </si>
  <si>
    <t xml:space="preserve">BDC Loan</t>
  </si>
  <si>
    <t xml:space="preserve">$210,686</t>
  </si>
  <si>
    <t xml:space="preserve">QBO + BDC statements</t>
  </si>
  <si>
    <t xml:space="preserve">PrairiesCan (WED + PrairiesCan)</t>
  </si>
  <si>
    <t xml:space="preserve">$344,331</t>
  </si>
  <si>
    <t xml:space="preserve">QBO Other LT Liabilities</t>
  </si>
  <si>
    <t xml:space="preserve">CEBA</t>
  </si>
  <si>
    <t xml:space="preserve">$56,700</t>
  </si>
  <si>
    <t xml:space="preserve">QBO (extracted from Other LTL)</t>
  </si>
  <si>
    <t xml:space="preserve">Retained Earnings</t>
  </si>
  <si>
    <t xml:space="preserve">-$2,234,371</t>
  </si>
  <si>
    <t xml:space="preserve">Critical Assumptions (BASE Case)</t>
  </si>
  <si>
    <t xml:space="preserve">Assumption</t>
  </si>
  <si>
    <t xml:space="preserve">Value</t>
  </si>
  <si>
    <t xml:space="preserve">Basis</t>
  </si>
  <si>
    <t xml:space="preserve">Wholesale price</t>
  </si>
  <si>
    <t xml:space="preserve">$285 CAD</t>
  </si>
  <si>
    <t xml:space="preserve">Current clinic pricing</t>
  </si>
  <si>
    <t xml:space="preserve">Landed COGS</t>
  </si>
  <si>
    <t xml:space="preserve">$152 CAD</t>
  </si>
  <si>
    <t xml:space="preserve">Manufacturer invoice</t>
  </si>
  <si>
    <t xml:space="preserve">Monthly OpEx</t>
  </si>
  <si>
    <t xml:space="preserve">$6,500</t>
  </si>
  <si>
    <t xml:space="preserve">Actual 3-person team burn</t>
  </si>
  <si>
    <t xml:space="preserve">New clinic activations</t>
  </si>
  <si>
    <t xml:space="preserve">13/mo (8 CA + 5 US)</t>
  </si>
  <si>
    <t xml:space="preserve">Historical activation rate</t>
  </si>
  <si>
    <t xml:space="preserve">Reorder probability</t>
  </si>
  <si>
    <t xml:space="preserve">70%</t>
  </si>
  <si>
    <t xml:space="preserve">Observed ~60% pattern + upside</t>
  </si>
  <si>
    <t xml:space="preserve">Reorder lag</t>
  </si>
  <si>
    <t xml:space="preserve">3 months</t>
  </si>
  <si>
    <t xml:space="preserve">Observed clinic reorder cycle</t>
  </si>
  <si>
    <t xml:space="preserve">BDC interest rate</t>
  </si>
  <si>
    <t xml:space="preserve">10.55%</t>
  </si>
  <si>
    <t xml:space="preserve">Loan agreement</t>
  </si>
  <si>
    <t xml:space="preserve">PrairiesCan rate</t>
  </si>
  <si>
    <t xml:space="preserve">8.0% / 60-month term</t>
  </si>
  <si>
    <t xml:space="preserve">PrairiesCan loan terms</t>
  </si>
  <si>
    <t xml:space="preserve">Bridge raise</t>
  </si>
  <si>
    <t xml:space="preserve">$750K (T1=M2, T2=M5)</t>
  </si>
  <si>
    <t xml:space="preserve">Active fundraise</t>
  </si>
  <si>
    <t xml:space="preserve">WACC (DCF)</t>
  </si>
  <si>
    <t xml:space="preserve">25%</t>
  </si>
  <si>
    <t xml:space="preserve">Early-stage hardware risk premium</t>
  </si>
  <si>
    <t xml:space="preserve">Terminal growth</t>
  </si>
  <si>
    <t xml:space="preserve">3%</t>
  </si>
  <si>
    <t xml:space="preserve">Conservative long-term</t>
  </si>
  <si>
    <t xml:space="preserve">Exit multiple</t>
  </si>
  <si>
    <t xml:space="preserve">8× EBITDA</t>
  </si>
  <si>
    <t xml:space="preserve">Comparable medtech transactions</t>
  </si>
  <si>
    <t xml:space="preserve">Clinical Evidence</t>
  </si>
  <si>
    <t xml:space="preserve">Habib et al. 2025 (draft)</t>
  </si>
  <si>
    <t xml:space="preserve">Govt-backed pilot, N=500. 87% eye comfort, 70% sleep outcomes. Manuscript in draft — NOT published.</t>
  </si>
  <si>
    <t xml:space="preserve">IoT Telemetry</t>
  </si>
  <si>
    <t xml:space="preserve">84% daily usage compliance, 0.64 DAU/MAU across ~2,847 devices. Underpins reorder and retention assumptions.</t>
  </si>
  <si>
    <t xml:space="preserve">🎮  INSTRUCTIONS FOR USE</t>
  </si>
  <si>
    <t xml:space="preserve">Running Scenarios</t>
  </si>
  <si>
    <t xml:space="preserve">Method 1 (recommended)</t>
  </si>
  <si>
    <t xml:space="preserve">⚙ Umay Model menu → Apply Scenario → enter BEAR, BASE, BULL, or POST_ACQUISITION</t>
  </si>
  <si>
    <t xml:space="preserve">Method 2 (manual)</t>
  </si>
  <si>
    <t xml:space="preserve">Go to 1_Inputs!B109, type scenario name, then update the 10 driver cells per 9_Scenarios col E</t>
  </si>
  <si>
    <t xml:space="preserve">Scenario</t>
  </si>
  <si>
    <t xml:space="preserve">Activations</t>
  </si>
  <si>
    <t xml:space="preserve">Reorder Prob</t>
  </si>
  <si>
    <t xml:space="preserve">DTC / SaaS</t>
  </si>
  <si>
    <t xml:space="preserve">BEAR</t>
  </si>
  <si>
    <t xml:space="preserve">6/mo</t>
  </si>
  <si>
    <t xml:space="preserve">50%</t>
  </si>
  <si>
    <t xml:space="preserve">Off / Off</t>
  </si>
  <si>
    <t xml:space="preserve">BASE</t>
  </si>
  <si>
    <t xml:space="preserve">13/mo</t>
  </si>
  <si>
    <t xml:space="preserve">BULL</t>
  </si>
  <si>
    <t xml:space="preserve">20/mo</t>
  </si>
  <si>
    <t xml:space="preserve">85%</t>
  </si>
  <si>
    <t xml:space="preserve">On / On</t>
  </si>
  <si>
    <t xml:space="preserve">POST_ACQUISITION</t>
  </si>
  <si>
    <t xml:space="preserve">30/mo</t>
  </si>
  <si>
    <t xml:space="preserve">Revenue Stream Toggles</t>
  </si>
  <si>
    <t xml:space="preserve">DTC (1_Inputs!B67)</t>
  </si>
  <si>
    <t xml:space="preserve">Set to 1 (on) or 0 (off). DTC draws from shared inventory AFTER clinic orders.</t>
  </si>
  <si>
    <t xml:space="preserve">SaaS (1_Inputs!B77)</t>
  </si>
  <si>
    <t xml:space="preserve">Set to 1 or 0. SaaS revenue is additive — no inventory impact.</t>
  </si>
  <si>
    <t xml:space="preserve">Debt Treatment Toggles</t>
  </si>
  <si>
    <t xml:space="preserve">Input Cell</t>
  </si>
  <si>
    <t xml:space="preserve">Options</t>
  </si>
  <si>
    <t xml:space="preserve">Effect</t>
  </si>
  <si>
    <t xml:space="preserve">B89 — PrairiesCan</t>
  </si>
  <si>
    <t xml:space="preserve">AMORTIZE / STATIC / FORGIVE</t>
  </si>
  <si>
    <t xml:space="preserve">Amortize = P&amp;I at start month. Static = no change. Forgive = wipe balance, book as income.</t>
  </si>
  <si>
    <t xml:space="preserve">B96 — BDC Strategy</t>
  </si>
  <si>
    <t xml:space="preserve">RETAIN / RETIRE</t>
  </si>
  <si>
    <t xml:space="preserve">Retain = continue payments. Retire = lump-sum payoff in specified month.</t>
  </si>
  <si>
    <t xml:space="preserve">B92 — CEBA Forgiveness</t>
  </si>
  <si>
    <t xml:space="preserve">0 – 56,700</t>
  </si>
  <si>
    <t xml:space="preserve">Reduces CEBA balloon. Difference books as Other Income.</t>
  </si>
  <si>
    <t xml:space="preserve">Running Validation</t>
  </si>
  <si>
    <t xml:space="preserve">Full suite</t>
  </si>
  <si>
    <t xml:space="preserve">⚙ Umay Model → Run Validation Suite. Colors all 324 gate cells green/red on 0_Dashboard.</t>
  </si>
  <si>
    <t xml:space="preserve">Quick check</t>
  </si>
  <si>
    <t xml:space="preserve">⚙ Umay Model → Quick AT-1 Check. Verifies BS balances all 18 months.</t>
  </si>
  <si>
    <t xml:space="preserve">If a gate fails</t>
  </si>
  <si>
    <t xml:space="preserve">Most likely a formula was overwritten. AT-1 = BS imbalance. AT-7 = toggle leaking. AT-14 = debt &lt; 0.</t>
  </si>
  <si>
    <t xml:space="preserve">Entering Actuals</t>
  </si>
  <si>
    <t xml:space="preserve">Where to enter</t>
  </si>
  <si>
    <t xml:space="preserve">Yellow rows: 2_Revenue R37-38/40, 3_IS R22/24/26/28, 5_CF R27. Variance calculates automatically.</t>
  </si>
  <si>
    <t xml:space="preserve">To reset</t>
  </si>
  <si>
    <t xml:space="preserve">⚙ Umay Model → Clear Actuals. Wipes actuals, preserves all forecast formulas.</t>
  </si>
  <si>
    <t xml:space="preserve">⚙  APPS SCRIPT SETUP</t>
  </si>
  <si>
    <t xml:space="preserve">File:</t>
  </si>
  <si>
    <t xml:space="preserve">Umay_Scripts_v8.gs — paste into Extensions → Apps Script. Delete any old v5/v7 scripts first.</t>
  </si>
  <si>
    <t xml:space="preserve">First run:</t>
  </si>
  <si>
    <t xml:space="preserve">Run installTriggers() from script editor → reload spreadsheet → ⚙ Umay Model menu appears.</t>
  </si>
  <si>
    <t xml:space="preserve">Function</t>
  </si>
  <si>
    <t xml:space="preserve">How to Run</t>
  </si>
  <si>
    <t xml:space="preserve">What It Does</t>
  </si>
  <si>
    <t xml:space="preserve">installTriggers</t>
  </si>
  <si>
    <t xml:space="preserve">Script editor (once)</t>
  </si>
  <si>
    <t xml:space="preserve">Registers the onOpen menu</t>
  </si>
  <si>
    <t xml:space="preserve">assignNamedRanges</t>
  </si>
  <si>
    <t xml:space="preserve">⚙ Menu → Assign/Refresh</t>
  </si>
  <si>
    <t xml:space="preserve">Re-creates 101 named ranges (run if NAME errors appear)</t>
  </si>
  <si>
    <t xml:space="preserve">showScenarioDialog</t>
  </si>
  <si>
    <t xml:space="preserve">⚙ Menu → Apply Scenario</t>
  </si>
  <si>
    <t xml:space="preserve">Writes scenario preset to 14 input cells</t>
  </si>
  <si>
    <t xml:space="preserve">runValidationSuite</t>
  </si>
  <si>
    <t xml:space="preserve">⚙ Menu → Run Validation</t>
  </si>
  <si>
    <t xml:space="preserve">Colors 324 gate cells, writes log</t>
  </si>
  <si>
    <t xml:space="preserve">checkAT1</t>
  </si>
  <si>
    <t xml:space="preserve">⚙ Menu → Quick AT-1</t>
  </si>
  <si>
    <t xml:space="preserve">Fast BS balance check</t>
  </si>
  <si>
    <t xml:space="preserve">clearActuals</t>
  </si>
  <si>
    <t xml:space="preserve">⚙ Menu → Clear Actuals</t>
  </si>
  <si>
    <t xml:space="preserve">Wipes actuals rows, preserves formulas</t>
  </si>
  <si>
    <t xml:space="preserve">⚠  LIMITATIONS</t>
  </si>
  <si>
    <t xml:space="preserve">What this model does NOT cover:</t>
  </si>
  <si>
    <t xml:space="preserve">1. No PO3+ logic</t>
  </si>
  <si>
    <t xml:space="preserve">Inventory depletes after PO2. Zero-revenue months reflect capital constraints, not demand collapse.</t>
  </si>
  <si>
    <t xml:space="preserve">2. M18 ceiling</t>
  </si>
  <si>
    <t xml:space="preserve">Monthly granularity ends Jun 2027. DCF Y2–Y5 are annual extrapolations, not bottom-up forecasts.</t>
  </si>
  <si>
    <t xml:space="preserve">3. No tax</t>
  </si>
  <si>
    <t xml:space="preserve">No corporate tax, SR&amp;ED credits, or loss carryforward. Accumulated losses would offset near-term tax.</t>
  </si>
  <si>
    <t xml:space="preserve">4. No FX</t>
  </si>
  <si>
    <t xml:space="preserve">All CAD. US revenue uses implicit 1:1 embedded in wholesale price. No hedging.</t>
  </si>
  <si>
    <t xml:space="preserve">5. SH loan conversion stubbed</t>
  </si>
  <si>
    <t xml:space="preserve">Ali/Sharmin loans default to STATIC. CONVERT_EQUITY/REPAY inputs exist but cap table mechanics not wired.</t>
  </si>
  <si>
    <t xml:space="preserve">6. Sensitivity = manual</t>
  </si>
  <si>
    <t xml:space="preserve">±20% tornado outputs on 10_Sensitivity require manual driver changes or future script.</t>
  </si>
  <si>
    <t xml:space="preserve">7. BEAR/BULL outputs</t>
  </si>
  <si>
    <t xml:space="preserve">9_Scenarios output table shows live BASE only. Run each scenario and record to populate.</t>
  </si>
  <si>
    <t xml:space="preserve">8. Single entity</t>
  </si>
  <si>
    <t xml:space="preserve">No multi-currency or multi-entity consolidation. ChinaBase JV or US sub would need restructuring.</t>
  </si>
  <si>
    <t xml:space="preserve">9. No pipeline revenue</t>
  </si>
  <si>
    <t xml:space="preserve">Excludes clinical trial partnerships, licensing, or RestScan data monetization beyond SaaS fee.</t>
  </si>
  <si>
    <t xml:space="preserve">10. WC simplified</t>
  </si>
  <si>
    <t xml:space="preserve">AR/AP/DR follow simplified monthly patterns, not aging schedules. Adequate for 18mo, not treasury mgmt.</t>
  </si>
  <si>
    <t xml:space="preserve">🔗  CRITICAL FORMULA CHAIN</t>
  </si>
  <si>
    <t xml:space="preserve">The cross-tab chain that must remain intact:</t>
  </si>
  <si>
    <t xml:space="preserve">→</t>
  </si>
  <si>
    <t xml:space="preserve">All assumptions feed downstream</t>
  </si>
  <si>
    <t xml:space="preserve">2_Revenue R31</t>
  </si>
  <si>
    <t xml:space="preserve">Consolidated Net Revenue (clinic + DTC + SaaS)</t>
  </si>
  <si>
    <t xml:space="preserve">3_IS R4 = 2_Revenue!R31</t>
  </si>
  <si>
    <t xml:space="preserve">Revenue into Income Statement</t>
  </si>
  <si>
    <t xml:space="preserve">3_IS R17</t>
  </si>
  <si>
    <t xml:space="preserve">Net Income = EBITDA − interest + other income</t>
  </si>
  <si>
    <t xml:space="preserve">5_CF R5 = 3_IS!R17</t>
  </si>
  <si>
    <t xml:space="preserve">Net Income into Cash Flow</t>
  </si>
  <si>
    <t xml:space="preserve">5_CF R24</t>
  </si>
  <si>
    <t xml:space="preserve">Closing Cash</t>
  </si>
  <si>
    <t xml:space="preserve">6_BS R5 = 5_CF!R24</t>
  </si>
  <si>
    <t xml:space="preserve">Cash on Balance Sheet</t>
  </si>
  <si>
    <t xml:space="preserve">AT-1: R12 = R36 ± $1</t>
  </si>
  <si>
    <t xml:space="preserve">✓</t>
  </si>
  <si>
    <t xml:space="preserve">Total Assets = Total L+E</t>
  </si>
  <si>
    <t xml:space="preserve">Defining mechanic:</t>
  </si>
  <si>
    <t xml:space="preserve">shipped = MIN(demand, available_inventory). Creates the realistic revenue shape — backlog spike at M4, steady M5–M11, stockout when PO2 depletes.</t>
  </si>
  <si>
    <t xml:space="preserve">📁  FILE INVENTORY</t>
  </si>
  <si>
    <t xml:space="preserve">File</t>
  </si>
  <si>
    <t xml:space="preserve">Umay_Model_v8.xlsx</t>
  </si>
  <si>
    <t xml:space="preserve">The model (this file)</t>
  </si>
  <si>
    <t xml:space="preserve">Umay_Scripts_v8.gs</t>
  </si>
  <si>
    <t xml:space="preserve">Apps Script — paste into Extensions → Apps Script</t>
  </si>
  <si>
    <t xml:space="preserve">Umay_Model_v8_Audit_Report.md</t>
  </si>
  <si>
    <t xml:space="preserve">Full mechanical audit — 324/324 gates passing</t>
  </si>
  <si>
    <t xml:space="preserve">Umay_Model_v8_README.md</t>
  </si>
  <si>
    <t xml:space="preserve">Markdown version of this README</t>
  </si>
  <si>
    <t xml:space="preserve">Built across 8 phases against PRD v2.1  ·  3,376 formulas  ·  101 named ranges  ·  15 tabs  ·  Zero errors</t>
  </si>
  <si>
    <t xml:space="preserve">UMAY CARE — INVESTOR DASHBOARD</t>
  </si>
  <si>
    <t xml:space="preserve">Live model output  ·  All figures in CAD  ·  18-Month Forecast Jan-26 → Jun-27</t>
  </si>
  <si>
    <t xml:space="preserve">💵  CASH POSITION</t>
  </si>
  <si>
    <t xml:space="preserve">Current Cash (M18 Closing)</t>
  </si>
  <si>
    <t xml:space="preserve">Months of Runway (Cash ÷ Monthly Burn)</t>
  </si>
  <si>
    <t xml:space="preserve">Minimum Cash (18-Month Low)</t>
  </si>
  <si>
    <t xml:space="preserve">📈  REVENUE</t>
  </si>
  <si>
    <t xml:space="preserve">Latest MRR (Total All Channels)</t>
  </si>
  <si>
    <t xml:space="preserve">Cumulative Revenue (18 Months)</t>
  </si>
  <si>
    <t xml:space="preserve">Total Units Shipped (18 Months)</t>
  </si>
  <si>
    <t xml:space="preserve">💰  PROFITABILITY</t>
  </si>
  <si>
    <t xml:space="preserve">Blended GM% (Last Active Month)</t>
  </si>
  <si>
    <t xml:space="preserve">EBITDA Margin% (Last Active Month)</t>
  </si>
  <si>
    <t xml:space="preserve">Net Income Margin% (Last Active Month)</t>
  </si>
  <si>
    <t xml:space="preserve">First Breakeven Month (EBITDA &gt; 0)</t>
  </si>
  <si>
    <t xml:space="preserve">🎯  REVENUE MIX  (Last Active Month)</t>
  </si>
  <si>
    <t xml:space="preserve">% Clinic Revenue</t>
  </si>
  <si>
    <t xml:space="preserve">% DTC Revenue</t>
  </si>
  <si>
    <t xml:space="preserve">% SaaS Revenue</t>
  </si>
  <si>
    <t xml:space="preserve">🏥  CLINIC METRICS</t>
  </si>
  <si>
    <t xml:space="preserve">Cumulative Active Clinics (M18)</t>
  </si>
  <si>
    <t xml:space="preserve">Reorder Probability</t>
  </si>
  <si>
    <t xml:space="preserve">GP / Clinic / Month (CAD)</t>
  </si>
  <si>
    <t xml:space="preserve">LTV:CAC — Revenue</t>
  </si>
  <si>
    <t xml:space="preserve">🏦  CAPITAL STRUCTURE</t>
  </si>
  <si>
    <t xml:space="preserve">Total Bridge Raised (Cumulative)</t>
  </si>
  <si>
    <t xml:space="preserve">New Investor % (Post-Bridge)</t>
  </si>
  <si>
    <t xml:space="preserve">Total Debt Outstanding (M18)</t>
  </si>
  <si>
    <t xml:space="preserve">Debt Service Coverage (EBITDA÷DS, M18)</t>
  </si>
  <si>
    <t xml:space="preserve">VALIDATION SUITE — 18 GATES</t>
  </si>
  <si>
    <t xml:space="preserve">Gate</t>
  </si>
  <si>
    <t xml:space="preserve">Description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</si>
  <si>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</si>
  <si>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</si>
  <si>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</si>
  <si>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</si>
  <si>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</si>
  <si>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</si>
  <si>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</si>
  <si>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</si>
  <si>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</si>
  <si>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</si>
  <si>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</si>
  <si>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</si>
  <si>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</si>
  <si>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</si>
  <si>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</si>
  <si>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</si>
  <si>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</si>
  <si>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</si>
  <si>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SUMMARY</t>
  </si>
  <si>
    <t xml:space="preserve">AT-1</t>
  </si>
  <si>
    <t xml:space="preserve">BS Balances (±$1)</t>
  </si>
  <si>
    <t xml:space="preserve">AT-2</t>
  </si>
  <si>
    <t xml:space="preserve">Cash Continuity (open=prior close)</t>
  </si>
  <si>
    <t xml:space="preserve">AT-3</t>
  </si>
  <si>
    <t xml:space="preserve">No Negative Inventory</t>
  </si>
  <si>
    <t xml:space="preserve">AT-4</t>
  </si>
  <si>
    <t xml:space="preserve">Demand Reconciliation (shipped=activ+reord+fill)</t>
  </si>
  <si>
    <t xml:space="preserve">AT-5</t>
  </si>
  <si>
    <t xml:space="preserve">PO Deposit Lifecycle (open+paid−applied=close)</t>
  </si>
  <si>
    <t xml:space="preserve">AT-6</t>
  </si>
  <si>
    <t xml:space="preserve">Revenue = Clinic+DTC+SaaS</t>
  </si>
  <si>
    <t xml:space="preserve">AT-7</t>
  </si>
  <si>
    <t xml:space="preserve">COGS = 2_Revenue COGS = IS COGS</t>
  </si>
  <si>
    <t xml:space="preserve">AT-8</t>
  </si>
  <si>
    <t xml:space="preserve">Debt Schedule Integrity (BDC roll)</t>
  </si>
  <si>
    <t xml:space="preserve">AT-9</t>
  </si>
  <si>
    <t xml:space="preserve">CF Closing Cash = BS Cash</t>
  </si>
  <si>
    <t xml:space="preserve">AT-10</t>
  </si>
  <si>
    <t xml:space="preserve">WC Closings = BS Line Items</t>
  </si>
  <si>
    <t xml:space="preserve">AT-11</t>
  </si>
  <si>
    <t xml:space="preserve">Cumulative NI: IS = BS</t>
  </si>
  <si>
    <t xml:space="preserve">AT-12</t>
  </si>
  <si>
    <t xml:space="preserve">Share Capital Δ = Bridge Equity Only</t>
  </si>
  <si>
    <t xml:space="preserve">AT-13</t>
  </si>
  <si>
    <t xml:space="preserve">Deferred Revenue ≥ 0</t>
  </si>
  <si>
    <t xml:space="preserve">AT-14</t>
  </si>
  <si>
    <t xml:space="preserve">All Debt Balances ≥ 0</t>
  </si>
  <si>
    <t xml:space="preserve">AT-15</t>
  </si>
  <si>
    <t xml:space="preserve">Gross Margin 0–100%</t>
  </si>
  <si>
    <t xml:space="preserve">AT-16</t>
  </si>
  <si>
    <t xml:space="preserve">Toggles=0 Structural Check</t>
  </si>
  <si>
    <t xml:space="preserve">AT-17</t>
  </si>
  <si>
    <t xml:space="preserve">WED Accrual Monotonic/Frozen</t>
  </si>
  <si>
    <t xml:space="preserve">AT-18</t>
  </si>
  <si>
    <t xml:space="preserve">Total Shipped ≤ Total Demand</t>
  </si>
  <si>
    <t xml:space="preserve">ℹ  PASS cells = green, FAIL cells = red (apply via Format &gt; Conditional Formatting in Google Sheets or run validationRunner.gs)</t>
  </si>
  <si>
    <t xml:space="preserve">v7.1 — Audit fixes applied: AT-4 (demand identity), AT-5 (PO sign + OB_PREPAID), AT-8 (interest not capitalized), AT-18 (tautology → backlog-aware), KPI zero-rev guards, DCF uplift circular ref, 3_IS variance signs</t>
  </si>
  <si>
    <t xml:space="preserve">UMAY CARE — MODEL INPUTS</t>
  </si>
  <si>
    <t xml:space="preserve">Blue cells = assumptions. Yellow = change for scenarios.</t>
  </si>
  <si>
    <t xml:space="preserve">REVENUE INPUTS</t>
  </si>
  <si>
    <t xml:space="preserve">Wholesale Price (CAD)</t>
  </si>
  <si>
    <t xml:space="preserve">Per unit, clinic channel</t>
  </si>
  <si>
    <t xml:space="preserve">CA Activations / Month</t>
  </si>
  <si>
    <t xml:space="preserve">US Activations / Month</t>
  </si>
  <si>
    <t xml:space="preserve">Avg Initial Order (units)</t>
  </si>
  <si>
    <t xml:space="preserve">Weighted avg 12/24/48 mix</t>
  </si>
  <si>
    <t xml:space="preserve">Avg Reorder Size (units)</t>
  </si>
  <si>
    <t xml:space="preserve">Weighted by segment</t>
  </si>
  <si>
    <t xml:space="preserve">Weighted avg across segments</t>
  </si>
  <si>
    <t xml:space="preserve">Reorder Lag (months)</t>
  </si>
  <si>
    <t xml:space="preserve">Months before first reorder</t>
  </si>
  <si>
    <t xml:space="preserve">Attach Revenue %</t>
  </si>
  <si>
    <t xml:space="preserve">% of clinic revenue</t>
  </si>
  <si>
    <t xml:space="preserve">COST INPUTS</t>
  </si>
  <si>
    <t xml:space="preserve">Landed COGS / Unit (CAD)</t>
  </si>
  <si>
    <t xml:space="preserve">All-in: factory+freight+duty+FPY</t>
  </si>
  <si>
    <t xml:space="preserve">Monthly OpEx Base (CAD)</t>
  </si>
  <si>
    <t xml:space="preserve">Current run rate from QB</t>
  </si>
  <si>
    <t xml:space="preserve">BDC Interest Rate (annual)</t>
  </si>
  <si>
    <t xml:space="preserve">BDC Monthly Payment (CAD)</t>
  </si>
  <si>
    <t xml:space="preserve">Approx from QB</t>
  </si>
  <si>
    <t xml:space="preserve">WED Interest Accrual / Month</t>
  </si>
  <si>
    <t xml:space="preserve">PrairiesCan accrual</t>
  </si>
  <si>
    <t xml:space="preserve">CAPITAL &amp; BACKLOG</t>
  </si>
  <si>
    <t xml:space="preserve">Backlog Units</t>
  </si>
  <si>
    <t xml:space="preserve">2184 ordered - 496 shipped</t>
  </si>
  <si>
    <t xml:space="preserve">Backlog AR Outstanding (CAD)</t>
  </si>
  <si>
    <t xml:space="preserve">$635K - $400K collected</t>
  </si>
  <si>
    <t xml:space="preserve">PO Units Ordered</t>
  </si>
  <si>
    <t xml:space="preserve">Dec 2025 PO</t>
  </si>
  <si>
    <t xml:space="preserve">PO Total Cost (CAD)</t>
  </si>
  <si>
    <t xml:space="preserve">Factory cost</t>
  </si>
  <si>
    <t xml:space="preserve">PO Paid to Date (CAD)</t>
  </si>
  <si>
    <t xml:space="preserve">Deposit paid</t>
  </si>
  <si>
    <t xml:space="preserve">PO Due Now (CAD)</t>
  </si>
  <si>
    <t xml:space="preserve">Balance due immediately</t>
  </si>
  <si>
    <t xml:space="preserve">PO Due Before Delivery (CAD)</t>
  </si>
  <si>
    <t xml:space="preserve">2 wks before arrival</t>
  </si>
  <si>
    <t xml:space="preserve">PO Arrival Month (M#)</t>
  </si>
  <si>
    <t xml:space="preserve">M4 = May 2026</t>
  </si>
  <si>
    <t xml:space="preserve">Bridge T1 (CAD)</t>
  </si>
  <si>
    <t xml:space="preserve">Target: March</t>
  </si>
  <si>
    <t xml:space="preserve">Bridge T1 Month</t>
  </si>
  <si>
    <t xml:space="preserve">M2 = Mar-26</t>
  </si>
  <si>
    <t xml:space="preserve">Bridge T2 (CAD)</t>
  </si>
  <si>
    <t xml:space="preserve">Target: June</t>
  </si>
  <si>
    <t xml:space="preserve">Bridge T2 Month</t>
  </si>
  <si>
    <t xml:space="preserve">M5 = Jun-26</t>
  </si>
  <si>
    <t xml:space="preserve">NRE Fee (if PO &lt; 2000)</t>
  </si>
  <si>
    <t xml:space="preserve">Tooling fee</t>
  </si>
  <si>
    <t xml:space="preserve">MOQ (units)</t>
  </si>
  <si>
    <t xml:space="preserve">Minimum order</t>
  </si>
  <si>
    <t xml:space="preserve">OPENING BALANCE SHEET (Jan 31, 2026 — QB)</t>
  </si>
  <si>
    <t xml:space="preserve">QB Jan 2026</t>
  </si>
  <si>
    <t xml:space="preserve">QB Jan 2026 ($235K backlog + $134K older AR)</t>
  </si>
  <si>
    <t xml:space="preserve">Nearly depleted</t>
  </si>
  <si>
    <t xml:space="preserve">Prepaid / PO Deposits</t>
  </si>
  <si>
    <t xml:space="preserve">Mfg deposits</t>
  </si>
  <si>
    <t xml:space="preserve">Other Current Assets</t>
  </si>
  <si>
    <t xml:space="preserve">Truly+Sezzle-Uncat</t>
  </si>
  <si>
    <t xml:space="preserve">Fixed Assets (net)</t>
  </si>
  <si>
    <t xml:space="preserve">QB</t>
  </si>
  <si>
    <t xml:space="preserve">Accounts Payable</t>
  </si>
  <si>
    <t xml:space="preserve">Credit Cards</t>
  </si>
  <si>
    <t xml:space="preserve">GST/HST + PST Payable</t>
  </si>
  <si>
    <t xml:space="preserve">WED Interest Accrual</t>
  </si>
  <si>
    <t xml:space="preserve">Deferred Revenue</t>
  </si>
  <si>
    <t xml:space="preserve">Other Current Liabilities</t>
  </si>
  <si>
    <t xml:space="preserve">Due-to + SH Ali net</t>
  </si>
  <si>
    <t xml:space="preserve">PrairiesCan Total</t>
  </si>
  <si>
    <t xml:space="preserve">#15540 + #19946</t>
  </si>
  <si>
    <t xml:space="preserve">Other LT Liabilities</t>
  </si>
  <si>
    <t xml:space="preserve">Notes+Sharmin (excl. CEBA — broken out below)</t>
  </si>
  <si>
    <t xml:space="preserve">Share Capital</t>
  </si>
  <si>
    <t xml:space="preserve">Opening Balance Equity</t>
  </si>
  <si>
    <t xml:space="preserve">QB migration</t>
  </si>
  <si>
    <t xml:space="preserve">QB (adjusted to balance M0 incl Jan YTD NI)</t>
  </si>
  <si>
    <t xml:space="preserve">PHASE 2A — BACKLOG &amp; PO2 INPUTS</t>
  </si>
  <si>
    <t xml:space="preserve">Backlog Cancellation Rate (% per month)</t>
  </si>
  <si>
    <t xml:space="preserve">Clinics cancel ~10%/mo of delayed backlog</t>
  </si>
  <si>
    <t xml:space="preserve">Ramp M1 Activations</t>
  </si>
  <si>
    <t xml:space="preserve">First month after PO arrival (M4=May-26)</t>
  </si>
  <si>
    <t xml:space="preserve">Ramp M2 Activations</t>
  </si>
  <si>
    <t xml:space="preserve">Second month (M5=Jun-26)</t>
  </si>
  <si>
    <t xml:space="preserve">Ramp M3+ Activations</t>
  </si>
  <si>
    <t xml:space="preserve">Steady state from M6+</t>
  </si>
  <si>
    <t xml:space="preserve">PO2 Units</t>
  </si>
  <si>
    <t xml:space="preserve">Next order size (≥ MOQ)</t>
  </si>
  <si>
    <t xml:space="preserve">PO2 Lead Time (months)</t>
  </si>
  <si>
    <t xml:space="preserve">120-day mfg, shipped by air</t>
  </si>
  <si>
    <t xml:space="preserve">PO2 Trigger Month</t>
  </si>
  <si>
    <t xml:space="preserve">M5 = Jun-26 (place when M4 depletes)</t>
  </si>
  <si>
    <t xml:space="preserve">PO2 Unit Cost</t>
  </si>
  <si>
    <t xml:space="preserve">Same landed COGS unless renegotiated</t>
  </si>
  <si>
    <t xml:space="preserve">PO2 Deposit %</t>
  </si>
  <si>
    <t xml:space="preserve">Deposit on placement; balance 1 mo before arrival</t>
  </si>
  <si>
    <t xml:space="preserve">DTC — DIRECT-TO-CONSUMER</t>
  </si>
  <si>
    <t xml:space="preserve">DTC Enabled (0/1)</t>
  </si>
  <si>
    <t xml:space="preserve">Off by default; toggle to 1</t>
  </si>
  <si>
    <t xml:space="preserve">DTC Launch Month</t>
  </si>
  <si>
    <t xml:space="preserve">M6 = Jul-26</t>
  </si>
  <si>
    <t xml:space="preserve">DTC Retail Price (CAD)</t>
  </si>
  <si>
    <t xml:space="preserve">Ghost MSRP</t>
  </si>
  <si>
    <t xml:space="preserve">DTC Units/Month (initial)</t>
  </si>
  <si>
    <t xml:space="preserve">Conservative: organic/referral</t>
  </si>
  <si>
    <t xml:space="preserve">DTC Monthly Growth Rate</t>
  </si>
  <si>
    <t xml:space="preserve">Compound monthly growth</t>
  </si>
  <si>
    <t xml:space="preserve">DTC Max Units/Month</t>
  </si>
  <si>
    <t xml:space="preserve">Capacity/support ceiling</t>
  </si>
  <si>
    <t xml:space="preserve">DTC COGS Adder (CAD)</t>
  </si>
  <si>
    <t xml:space="preserve">Ship+pack+returns on top of $152</t>
  </si>
  <si>
    <t xml:space="preserve">DTC Marketing Spend/Month</t>
  </si>
  <si>
    <t xml:space="preserve">Hits OpEx, not COGS</t>
  </si>
  <si>
    <t xml:space="preserve">DTC Return Rate</t>
  </si>
  <si>
    <t xml:space="preserve">Net of returns</t>
  </si>
  <si>
    <t xml:space="preserve">SAAS — RESTSCAN PLATFORM</t>
  </si>
  <si>
    <t xml:space="preserve">SaaS Enabled (0/1)</t>
  </si>
  <si>
    <t xml:space="preserve">Off by default</t>
  </si>
  <si>
    <t xml:space="preserve">SaaS Launch Month</t>
  </si>
  <si>
    <t xml:space="preserve">M10 = Nov-26</t>
  </si>
  <si>
    <t xml:space="preserve">Clinic License Fee (CAD/mo)</t>
  </si>
  <si>
    <t xml:space="preserve">Per active clinic</t>
  </si>
  <si>
    <t xml:space="preserve">SaaS Clinic Adoption %</t>
  </si>
  <si>
    <t xml:space="preserve">% of active clinics</t>
  </si>
  <si>
    <t xml:space="preserve">SaaS Adoption Ramp (mo)</t>
  </si>
  <si>
    <t xml:space="preserve">Months to full adoption</t>
  </si>
  <si>
    <t xml:space="preserve">Consumer Subs (initial)</t>
  </si>
  <si>
    <t xml:space="preserve">Not modeled in 18mo; placeholder</t>
  </si>
  <si>
    <t xml:space="preserve">Consumer Sub Price (CAD/mo)</t>
  </si>
  <si>
    <t xml:space="preserve">Placeholder</t>
  </si>
  <si>
    <t xml:space="preserve">SaaS Gross Margin %</t>
  </si>
  <si>
    <t xml:space="preserve">Software margins</t>
  </si>
  <si>
    <t xml:space="preserve">DEBT RESTRUCTURING INPUTS</t>
  </si>
  <si>
    <t xml:space="preserve">PrairiesCan Start Month</t>
  </si>
  <si>
    <t xml:space="preserve">M12=Jan-27</t>
  </si>
  <si>
    <t xml:space="preserve">PrairiesCan Term (months)</t>
  </si>
  <si>
    <t xml:space="preserve">5-year repayment</t>
  </si>
  <si>
    <t xml:space="preserve">PrairiesCan Rate (annual)</t>
  </si>
  <si>
    <t xml:space="preserve">Conservative 8%</t>
  </si>
  <si>
    <t xml:space="preserve">PrairiesCan Treatment</t>
  </si>
  <si>
    <t xml:space="preserve">AMORTIZE</t>
  </si>
  <si>
    <t xml:space="preserve">OB_CEBA Balance</t>
  </si>
  <si>
    <t xml:space="preserve">Broken out from OB_OLTL</t>
  </si>
  <si>
    <t xml:space="preserve">CEBA Forgiveness Amount</t>
  </si>
  <si>
    <t xml:space="preserve">0 = no forgiveness</t>
  </si>
  <si>
    <t xml:space="preserve">CEBA Payment Month</t>
  </si>
  <si>
    <t xml:space="preserve">M11=Dec-26 balloon</t>
  </si>
  <si>
    <t xml:space="preserve">Ali SH Loan Treatment</t>
  </si>
  <si>
    <t xml:space="preserve">STATIC</t>
  </si>
  <si>
    <t xml:space="preserve">STATIC / CONVERT_EQUITY / REPAY</t>
  </si>
  <si>
    <t xml:space="preserve">Sharmin SH Loan Treatment</t>
  </si>
  <si>
    <t xml:space="preserve">BDC Strategy</t>
  </si>
  <si>
    <t xml:space="preserve">RETAIN</t>
  </si>
  <si>
    <t xml:space="preserve">BDC Retire Month</t>
  </si>
  <si>
    <t xml:space="preserve">Stub; active only when RETIRE</t>
  </si>
  <si>
    <t xml:space="preserve">FUNDRAISE INPUTS</t>
  </si>
  <si>
    <t xml:space="preserve">Raise Amount (CAD)</t>
  </si>
  <si>
    <t xml:space="preserve">Total bridge raise (=CAP_T1+CAP_T2 by default)</t>
  </si>
  <si>
    <t xml:space="preserve">Pre-Money Valuation (CAD)</t>
  </si>
  <si>
    <t xml:space="preserve">Last round valuation as default; change per scenario</t>
  </si>
  <si>
    <t xml:space="preserve">Instrument</t>
  </si>
  <si>
    <t xml:space="preserve">SAFE</t>
  </si>
  <si>
    <t xml:space="preserve">SAFE / CONV_NOTE / EQUITY</t>
  </si>
  <si>
    <t xml:space="preserve">SAFE Discount</t>
  </si>
  <si>
    <t xml:space="preserve">Discount for SAFE / convertible note</t>
  </si>
  <si>
    <t xml:space="preserve">SAFE Valuation Cap (CAD)</t>
  </si>
  <si>
    <t xml:space="preserve">Valuation cap for SAFE conversion</t>
  </si>
  <si>
    <t xml:space="preserve">⑤  SCENARIO SELECTOR  (Phase 5)</t>
  </si>
  <si>
    <t xml:space="preserve">BEAR / BASE / BULL / CUSTOM</t>
  </si>
  <si>
    <t xml:space="preserve">Apps Script writes inputs when changed from CUSTOM</t>
  </si>
  <si>
    <t xml:space="preserve">── DCF INPUTS (Phase 6)</t>
  </si>
  <si>
    <t xml:space="preserve">WACC</t>
  </si>
  <si>
    <t xml:space="preserve">25% discount rate</t>
  </si>
  <si>
    <t xml:space="preserve">Y3 Revenue Growth</t>
  </si>
  <si>
    <t xml:space="preserve">Decelerating</t>
  </si>
  <si>
    <t xml:space="preserve">Y4 Revenue Growth</t>
  </si>
  <si>
    <t xml:space="preserve">Deepening</t>
  </si>
  <si>
    <t xml:space="preserve">Y5 Revenue Growth</t>
  </si>
  <si>
    <t xml:space="preserve">Approaching steady state</t>
  </si>
  <si>
    <t xml:space="preserve">Terminal Growth Rate</t>
  </si>
  <si>
    <t xml:space="preserve">Gordon Growth</t>
  </si>
  <si>
    <t xml:space="preserve">Exit Multiple (EBITDA)</t>
  </si>
  <si>
    <t xml:space="preserve">Sensitivity: 5/8/10/12</t>
  </si>
  <si>
    <t xml:space="preserve">Y3–Y5 OpEx % of Revenue</t>
  </si>
  <si>
    <t xml:space="preserve">Improving from early stage</t>
  </si>
  <si>
    <t xml:space="preserve">Y3–Y5 Gross Margin %</t>
  </si>
  <si>
    <t xml:space="preserve">Stabilizing (blended if DTC/SaaS on)</t>
  </si>
  <si>
    <t xml:space="preserve">── CLINIC ANALYTICS INPUTS (Phase 6)</t>
  </si>
  <si>
    <t xml:space="preserve">CAC per Clinic (CAD)</t>
  </si>
  <si>
    <t xml:space="preserve">From Super-Clinic analysis</t>
  </si>
  <si>
    <t xml:space="preserve">Expected Reorder Cycles</t>
  </si>
  <si>
    <t xml:space="preserve">Over device lifetime (~2 years)</t>
  </si>
  <si>
    <t xml:space="preserve">⑧  CHANNEL VALUE INPUTS (Phase 8)</t>
  </si>
  <si>
    <t xml:space="preserve">Acquirer Clinic Network Size</t>
  </si>
  <si>
    <t xml:space="preserve">E.g. Alcon optometry footprint</t>
  </si>
  <si>
    <t xml:space="preserve">Penetration Rate Year 1</t>
  </si>
  <si>
    <t xml:space="preserve">% of acquirer clinics adopting Umay</t>
  </si>
  <si>
    <t xml:space="preserve">Penetration Rate Year 3</t>
  </si>
  <si>
    <t xml:space="preserve">Mature penetration</t>
  </si>
  <si>
    <t xml:space="preserve">Revenue per Clinic (CAD/yr)</t>
  </si>
  <si>
    <t xml:space="preserve">Initial order + reorders annualized</t>
  </si>
  <si>
    <t xml:space="preserve">Strategic Premium %</t>
  </si>
  <si>
    <t xml:space="preserve">Premium above DCF for channel access</t>
  </si>
  <si>
    <t xml:space="preserve">REVENUE ENGINE</t>
  </si>
  <si>
    <t xml:space="preserve">Line Item</t>
  </si>
  <si>
    <t xml:space="preserve">New Clinic Activations</t>
  </si>
  <si>
    <t xml:space="preserve">Cumulative Active Clinics</t>
  </si>
  <si>
    <t xml:space="preserve">Reorder-Eligible (lagged)</t>
  </si>
  <si>
    <t xml:space="preserve">Clinics Reordering</t>
  </si>
  <si>
    <t xml:space="preserve">New Activation Units</t>
  </si>
  <si>
    <t xml:space="preserve">Reorder Units</t>
  </si>
  <si>
    <t xml:space="preserve">Backlog Fulfillment Units</t>
  </si>
  <si>
    <t xml:space="preserve">TOTAL UNITS SHIPPED</t>
  </si>
  <si>
    <t xml:space="preserve">Unmet Demand (Backlog)</t>
  </si>
  <si>
    <t xml:space="preserve">Backlog Cancellation</t>
  </si>
  <si>
    <t xml:space="preserve">Gross Revenue (Clinic)</t>
  </si>
  <si>
    <t xml:space="preserve">Attach Revenue</t>
  </si>
  <si>
    <t xml:space="preserve">TOTAL NET REVENUE</t>
  </si>
  <si>
    <t xml:space="preserve">COGS (landed + NRE)</t>
  </si>
  <si>
    <t xml:space="preserve">GROSS PROFIT</t>
  </si>
  <si>
    <t xml:space="preserve">Gross Margin %</t>
  </si>
  <si>
    <t xml:space="preserve">DTC Gross Units</t>
  </si>
  <si>
    <t xml:space="preserve">DTC Net Units</t>
  </si>
  <si>
    <t xml:space="preserve">DTC Revenue</t>
  </si>
  <si>
    <t xml:space="preserve">DTC COGS</t>
  </si>
  <si>
    <t xml:space="preserve">DTC Gross Profit</t>
  </si>
  <si>
    <t xml:space="preserve">── DTC SUBTOTAL ──</t>
  </si>
  <si>
    <t xml:space="preserve">SaaS Subscribing Clinics</t>
  </si>
  <si>
    <t xml:space="preserve">SaaS MRR</t>
  </si>
  <si>
    <t xml:space="preserve">SaaS COGS</t>
  </si>
  <si>
    <t xml:space="preserve">SaaS Gross Profit</t>
  </si>
  <si>
    <t xml:space="preserve">── SAAS SUBTOTAL ──</t>
  </si>
  <si>
    <t xml:space="preserve">TOTAL COGS</t>
  </si>
  <si>
    <t xml:space="preserve">TOTAL GROSS PROFIT</t>
  </si>
  <si>
    <t xml:space="preserve">Blended Gross Margin %</t>
  </si>
  <si>
    <t xml:space="preserve">── ACTUALS (fill when available) ──</t>
  </si>
  <si>
    <t xml:space="preserve">Revenue Actual — Clinic</t>
  </si>
  <si>
    <t xml:space="preserve">Revenue Actual — Total (all channels)</t>
  </si>
  <si>
    <t xml:space="preserve">Revenue Variance (Actual − Forecast)</t>
  </si>
  <si>
    <t xml:space="preserve">COGS Actual</t>
  </si>
  <si>
    <t xml:space="preserve">COGS Variance (Actual − Forecast)</t>
  </si>
  <si>
    <t xml:space="preserve">INCOME STATEMENT</t>
  </si>
  <si>
    <t xml:space="preserve">Total Net Revenue</t>
  </si>
  <si>
    <t xml:space="preserve">Cost of Goods Sold</t>
  </si>
  <si>
    <t xml:space="preserve">Operating Expenses</t>
  </si>
  <si>
    <t xml:space="preserve">EBITDA</t>
  </si>
  <si>
    <t xml:space="preserve">EBITDA Margin %</t>
  </si>
  <si>
    <t xml:space="preserve">Interest — BDC</t>
  </si>
  <si>
    <t xml:space="preserve">Interest — WED Accrual / PC Amortization</t>
  </si>
  <si>
    <t xml:space="preserve">Total Interest</t>
  </si>
  <si>
    <t xml:space="preserve">Other Income (Debt Forgiveness)</t>
  </si>
  <si>
    <t xml:space="preserve">NET INCOME</t>
  </si>
  <si>
    <t xml:space="preserve">Net Margin %</t>
  </si>
  <si>
    <t xml:space="preserve">Cumulative Net Income</t>
  </si>
  <si>
    <t xml:space="preserve">Revenue — Actual</t>
  </si>
  <si>
    <t xml:space="preserve">Revenue Variance</t>
  </si>
  <si>
    <t xml:space="preserve">COGS — Actual</t>
  </si>
  <si>
    <t xml:space="preserve">COGS Variance</t>
  </si>
  <si>
    <t xml:space="preserve">OpEx — Actual</t>
  </si>
  <si>
    <t xml:space="preserve">OpEx Variance</t>
  </si>
  <si>
    <t xml:space="preserve">Net Income — Actual</t>
  </si>
  <si>
    <t xml:space="preserve">NI Variance</t>
  </si>
  <si>
    <t xml:space="preserve">WORKING CAPITAL</t>
  </si>
  <si>
    <t xml:space="preserve">── ACCOUNTS RECEIVABLE ──</t>
  </si>
  <si>
    <t xml:space="preserve">Opening AR</t>
  </si>
  <si>
    <t xml:space="preserve">+ Invoiced (backlog AR on ship)</t>
  </si>
  <si>
    <t xml:space="preserve">- Collections (COD)</t>
  </si>
  <si>
    <t xml:space="preserve">CLOSING AR</t>
  </si>
  <si>
    <t xml:space="preserve">── INVENTORY ──</t>
  </si>
  <si>
    <t xml:space="preserve">Opening (units)</t>
  </si>
  <si>
    <t xml:space="preserve">+ Received (PO1 + PO2)</t>
  </si>
  <si>
    <t xml:space="preserve">- Shipped (Clinic + DTC)</t>
  </si>
  <si>
    <t xml:space="preserve">Closing (units)</t>
  </si>
  <si>
    <t xml:space="preserve">Closing (value)</t>
  </si>
  <si>
    <t xml:space="preserve">── DEFERRED REVENUE ──</t>
  </si>
  <si>
    <t xml:space="preserve">Opening</t>
  </si>
  <si>
    <t xml:space="preserve">+ New Deposits</t>
  </si>
  <si>
    <t xml:space="preserve">- Recognized on Shipment</t>
  </si>
  <si>
    <t xml:space="preserve">CLOSING DEFERRED REVENUE</t>
  </si>
  <si>
    <t xml:space="preserve">── PO DEPOSITS / PREPAID ──</t>
  </si>
  <si>
    <t xml:space="preserve">+ Deposits Paid</t>
  </si>
  <si>
    <t xml:space="preserve">- Applied on Delivery</t>
  </si>
  <si>
    <t xml:space="preserve">CLOSING PO DEPOSITS</t>
  </si>
  <si>
    <t xml:space="preserve">── PO2 DEPOSITS ──</t>
  </si>
  <si>
    <t xml:space="preserve">+ PO2 Deposits Paid</t>
  </si>
  <si>
    <t xml:space="preserve">- Applied on PO2 Delivery</t>
  </si>
  <si>
    <t xml:space="preserve">CLOSING PO2 DEPOSITS</t>
  </si>
  <si>
    <t xml:space="preserve">CASH FLOW — INDIRECT</t>
  </si>
  <si>
    <t xml:space="preserve">── OPERATING ──</t>
  </si>
  <si>
    <t xml:space="preserve">Net Income</t>
  </si>
  <si>
    <t xml:space="preserve">Δ AR</t>
  </si>
  <si>
    <t xml:space="preserve">Δ Inventory</t>
  </si>
  <si>
    <t xml:space="preserve">Δ Deferred Revenue</t>
  </si>
  <si>
    <t xml:space="preserve">Δ PO Deposits / Prepaid (PO1+PO2)</t>
  </si>
  <si>
    <t xml:space="preserve">Add back: WED Accrual (non-cash) / (Forgiveness reversal)</t>
  </si>
  <si>
    <t xml:space="preserve">NET CASH FROM OPERATIONS</t>
  </si>
  <si>
    <t xml:space="preserve">── INVESTING ──</t>
  </si>
  <si>
    <t xml:space="preserve">CapEx</t>
  </si>
  <si>
    <t xml:space="preserve">NET CASH FROM INVESTING</t>
  </si>
  <si>
    <t xml:space="preserve">── FINANCING ──</t>
  </si>
  <si>
    <t xml:space="preserve">Bridge Equity</t>
  </si>
  <si>
    <t xml:space="preserve">Debt Principal Payments (BDC + PC + CEBA)</t>
  </si>
  <si>
    <t xml:space="preserve">NET CASH FROM FINANCING</t>
  </si>
  <si>
    <t xml:space="preserve">NET CHANGE IN CASH</t>
  </si>
  <si>
    <t xml:space="preserve">Opening Cash</t>
  </si>
  <si>
    <t xml:space="preserve">CLOSING CASH</t>
  </si>
  <si>
    <t xml:space="preserve">Cash Actual (Closing Balance)</t>
  </si>
  <si>
    <t xml:space="preserve">Cash Variance (Actual − Forecast)</t>
  </si>
  <si>
    <t xml:space="preserve">BALANCE SHEET</t>
  </si>
  <si>
    <t xml:space="preserve">── ASSETS ──</t>
  </si>
  <si>
    <t xml:space="preserve">PO Deposits / Prepaid (PO1+PO2)</t>
  </si>
  <si>
    <t xml:space="preserve">TOTAL CURRENT ASSETS</t>
  </si>
  <si>
    <t xml:space="preserve">TOTAL ASSETS</t>
  </si>
  <si>
    <t xml:space="preserve">── LIABILITIES ──</t>
  </si>
  <si>
    <t xml:space="preserve">GST/HST + PST</t>
  </si>
  <si>
    <t xml:space="preserve">TOTAL CURRENT LIABILITIES</t>
  </si>
  <si>
    <t xml:space="preserve">PrairiesCan Loans</t>
  </si>
  <si>
    <t xml:space="preserve">CEBA Loan</t>
  </si>
  <si>
    <t xml:space="preserve">Other LT Liabilities (excl. CEBA)</t>
  </si>
  <si>
    <t xml:space="preserve">TOTAL LT LIABILITIES</t>
  </si>
  <si>
    <t xml:space="preserve">TOTAL LIABILITIES</t>
  </si>
  <si>
    <t xml:space="preserve">── EQUITY ──</t>
  </si>
  <si>
    <t xml:space="preserve">Retained Earnings (historical)</t>
  </si>
  <si>
    <t xml:space="preserve">Current Period NI (cumul)</t>
  </si>
  <si>
    <t xml:space="preserve">TOTAL EQUITY</t>
  </si>
  <si>
    <t xml:space="preserve">TOTAL L+E</t>
  </si>
  <si>
    <t xml:space="preserve">AT-1 CHECK</t>
  </si>
  <si>
    <t xml:space="preserve">Gap ($)</t>
  </si>
  <si>
    <t xml:space="preserve">── PHASE 3 VALIDATION GATES ──</t>
  </si>
  <si>
    <t xml:space="preserve">AT-8 Debt Schedule Integrity (PC)</t>
  </si>
  <si>
    <t xml:space="preserve">AT-14 All Debt Balances ≥ 0</t>
  </si>
  <si>
    <t xml:space="preserve">AT-17 WED Accrual Frozen After Start</t>
  </si>
  <si>
    <t xml:space="preserve">AT-5a PO1 Deposit Lifecycle</t>
  </si>
  <si>
    <t xml:space="preserve">AT-5b PO2 Deposit Lifecycle</t>
  </si>
  <si>
    <t xml:space="preserve">── VALIDATION GATES — Phase 2B + Phase 6 ──</t>
  </si>
  <si>
    <t xml:space="preserve">AT-6 Clinic+DTC ≤ Available Inv</t>
  </si>
  <si>
    <t xml:space="preserve">AT-7 Toggle=0 Clinic Rev Match</t>
  </si>
  <si>
    <t xml:space="preserve">AT-7 Toggle=0 COGS Match</t>
  </si>
  <si>
    <t xml:space="preserve">AT-12 Share Capital Wire</t>
  </si>
  <si>
    <t xml:space="preserve">AT-9 CF Closing Cash = BS Cash (All Months)</t>
  </si>
  <si>
    <t xml:space="preserve">BDC DEBT SCHEDULE</t>
  </si>
  <si>
    <t xml:space="preserve">Opening Balance</t>
  </si>
  <si>
    <t xml:space="preserve">Interest (rate/12 × opening)</t>
  </si>
  <si>
    <t xml:space="preserve">Principal Payment</t>
  </si>
  <si>
    <t xml:space="preserve">Closing Balance</t>
  </si>
  <si>
    <t xml:space="preserve">── PRAIRIESCÁN SCHEDULE ──</t>
  </si>
  <si>
    <t xml:space="preserve">PC Opening Balance</t>
  </si>
  <si>
    <t xml:space="preserve">PC Interest</t>
  </si>
  <si>
    <t xml:space="preserve">PC Monthly P&amp;I (PMT)</t>
  </si>
  <si>
    <t xml:space="preserve">PC Principal Payment</t>
  </si>
  <si>
    <t xml:space="preserve">PC Closing Balance</t>
  </si>
  <si>
    <t xml:space="preserve">── CEBA SCHEDULE ──</t>
  </si>
  <si>
    <t xml:space="preserve">CEBA Opening Balance</t>
  </si>
  <si>
    <t xml:space="preserve">CEBA Payment</t>
  </si>
  <si>
    <t xml:space="preserve">CEBA Closing Balance</t>
  </si>
  <si>
    <t xml:space="preserve">8_CapTable — Capitalization &amp; Investor Returns</t>
  </si>
  <si>
    <t xml:space="preserve">Umay Care Holdings Inc. | All figures in CAD | Last updated: auto</t>
  </si>
  <si>
    <t xml:space="preserve">§3.1  PRE-BRIDGE CAP TABLE</t>
  </si>
  <si>
    <t xml:space="preserve">Shareholder</t>
  </si>
  <si>
    <t xml:space="preserve">Shares</t>
  </si>
  <si>
    <t xml:space="preserve">Ownership %</t>
  </si>
  <si>
    <t xml:space="preserve">Implied Value
@ $7.5M</t>
  </si>
  <si>
    <t xml:space="preserve">Ali Habib (CEO)</t>
  </si>
  <si>
    <t xml:space="preserve">Dr. Sharmin Habib (Co-founder)</t>
  </si>
  <si>
    <t xml:space="preserve">Dr. George Shen</t>
  </si>
  <si>
    <t xml:space="preserve">Dan Webb (Clarion Medical)</t>
  </si>
  <si>
    <t xml:space="preserve">John Pinsent (2129212 Alberta)</t>
  </si>
  <si>
    <t xml:space="preserve">Janan Paskaran</t>
  </si>
  <si>
    <t xml:space="preserve">Sammer Bhojani</t>
  </si>
  <si>
    <t xml:space="preserve">Ally-Khan Pirmohamed</t>
  </si>
  <si>
    <t xml:space="preserve">Cameron Kuzyk</t>
  </si>
  <si>
    <t xml:space="preserve">Karim Pirmohamed</t>
  </si>
  <si>
    <t xml:space="preserve">Omotayo Ogunlola</t>
  </si>
  <si>
    <t xml:space="preserve">Dwayne Hunka</t>
  </si>
  <si>
    <t xml:space="preserve">Cody Lakevold</t>
  </si>
  <si>
    <t xml:space="preserve">Aaryn Flynn</t>
  </si>
  <si>
    <t xml:space="preserve">Ashif Mawji</t>
  </si>
  <si>
    <t xml:space="preserve">Blain LaBonte</t>
  </si>
  <si>
    <t xml:space="preserve">Faheem Allidina</t>
  </si>
  <si>
    <t xml:space="preserve">Thomas Fath</t>
  </si>
  <si>
    <t xml:space="preserve">Startup TNT</t>
  </si>
  <si>
    <t xml:space="preserve">TOTAL</t>
  </si>
  <si>
    <t xml:space="preserve">§3.2  BRIDGE DILUTION MODELING — Scenario Matrix</t>
  </si>
  <si>
    <t xml:space="preserve">Inputs pulled from 1_Inputs (rows 101–105). Change yellow cells to model scenarios.</t>
  </si>
  <si>
    <t xml:space="preserve">Pre-Money Valuation →</t>
  </si>
  <si>
    <t xml:space="preserve">$7.5M Pre</t>
  </si>
  <si>
    <t xml:space="preserve">$10.0M Pre</t>
  </si>
  <si>
    <t xml:space="preserve">$12.0M Pre</t>
  </si>
  <si>
    <t xml:space="preserve">Entry Price / Share</t>
  </si>
  <si>
    <t xml:space="preserve">Post-Money Valuation</t>
  </si>
  <si>
    <t xml:space="preserve">New Shares Issued</t>
  </si>
  <si>
    <t xml:space="preserve">Total Shares (Post)</t>
  </si>
  <si>
    <t xml:space="preserve">New Investor %</t>
  </si>
  <si>
    <t xml:space="preserve">Ali Post-Dilution %</t>
  </si>
  <si>
    <t xml:space="preserve">Sharmin Post-Dilution %</t>
  </si>
  <si>
    <t xml:space="preserve">Prior Investors Post %</t>
  </si>
  <si>
    <t xml:space="preserve">Effective Price Per Share at Conversion</t>
  </si>
  <si>
    <t xml:space="preserve">$10M Pre</t>
  </si>
  <si>
    <t xml:space="preserve">$12M Pre</t>
  </si>
  <si>
    <t xml:space="preserve">$15M Pre</t>
  </si>
  <si>
    <t xml:space="preserve">Note</t>
  </si>
  <si>
    <t xml:space="preserve">SAFE (Discount only)</t>
  </si>
  <si>
    <t xml:space="preserve">Price = Pre/TotalShares×(1−discount)</t>
  </si>
  <si>
    <t xml:space="preserve">SAFE (Cap + Discount, lower wins)</t>
  </si>
  <si>
    <t xml:space="preserve">Price = min(Cap/TotalShares, Discount price)</t>
  </si>
  <si>
    <t xml:space="preserve">Convertible Note (Discount)</t>
  </si>
  <si>
    <t xml:space="preserve">Same as SAFE Discount for price calc</t>
  </si>
  <si>
    <t xml:space="preserve">§3.3  INVESTOR ROI — MOIC at Series A Exit</t>
  </si>
  <si>
    <t xml:space="preserve">Entry Scenario</t>
  </si>
  <si>
    <t xml:space="preserve">$15M Exit</t>
  </si>
  <si>
    <t xml:space="preserve">$25M Exit</t>
  </si>
  <si>
    <t xml:space="preserve">$50M Exit</t>
  </si>
  <si>
    <t xml:space="preserve">MOIC Formula</t>
  </si>
  <si>
    <t xml:space="preserve">Entry @ $7.5M Pre ($9.5M Post)</t>
  </si>
  <si>
    <t xml:space="preserve">exit × investor%(R33) / RAISE_AMOUNT; floored at 1.0×</t>
  </si>
  <si>
    <t xml:space="preserve">Entry @ $10.0M Pre ($12.0M Post)</t>
  </si>
  <si>
    <t xml:space="preserve">Entry @ $12.0M Pre ($14.0M Post)</t>
  </si>
  <si>
    <t xml:space="preserve">1× non-participating liquidation preference modeled. MOIC = MAX(pro-rata exit proceeds ÷ invested, 1.0×). No option pool modeled.</t>
  </si>
  <si>
    <t xml:space="preserve">New investor % = Raise ÷ Post-Money (equity). Series A at 18-24 months. No additional dilution between bridge and exit modeled.</t>
  </si>
  <si>
    <t xml:space="preserve">§3.4  BALANCE SHEET WIRE VERIFICATION (reads from model)</t>
  </si>
  <si>
    <t xml:space="preserve">Month</t>
  </si>
  <si>
    <t xml:space="preserve">Bridge Equity Inflow</t>
  </si>
  <si>
    <t xml:space="preserve">Share Capital Δ</t>
  </si>
  <si>
    <t xml:space="preserve">Match?</t>
  </si>
  <si>
    <t xml:space="preserve">VALIDATION GATES</t>
  </si>
  <si>
    <t xml:space="preserve">Test</t>
  </si>
  <si>
    <t xml:space="preserve">Balance Sheet balances (±$1)</t>
  </si>
  <si>
    <t xml:space="preserve">SC Δ = Bridge inflows only</t>
  </si>
  <si>
    <t xml:space="preserve">UMAY CARE — SCENARIO PRESETS &amp; OUTPUT COMPARISON</t>
  </si>
  <si>
    <t xml:space="preserve">Selector cell: 1_Inputs!B109   |   BEAR / BASE / BULL / CUSTOM   |   Apps Script: Umay_Scripts_v5.gs</t>
  </si>
  <si>
    <t xml:space="preserve">Selector: BEAR / BASE / BULL / CUSTOM / POST_ACQUISITION  |  POST_ACQUISITION uses acquirer distribution assumptions: 30 activations/mo, DTC+SaaS enabled, $15K/mo marketing. Apply via Apps Script or manually copy column F values to 1_Inputs.</t>
  </si>
  <si>
    <t xml:space="preserve">§4.1  DRIVER PRESET MATRIX  (read-only reference; Apps Script writes from here)</t>
  </si>
  <si>
    <t xml:space="preserve">Driver / Assumption</t>
  </si>
  <si>
    <t xml:space="preserve">🐻  BEAR</t>
  </si>
  <si>
    <t xml:space="preserve">⚖️  BASE</t>
  </si>
  <si>
    <t xml:space="preserve">🐂  BULL</t>
  </si>
  <si>
    <t xml:space="preserve">1_Inputs row(s) written by script</t>
  </si>
  <si>
    <t xml:space="preserve">🏢  POST_ACQUISITION</t>
  </si>
  <si>
    <t xml:space="preserve">New Activations / month (CA+US)</t>
  </si>
  <si>
    <t xml:space="preserve">rows 6 &amp; 7 (split 8+5=13 base)</t>
  </si>
  <si>
    <t xml:space="preserve">row 10</t>
  </si>
  <si>
    <t xml:space="preserve">Reorder Size (units)</t>
  </si>
  <si>
    <t xml:space="preserve">row 9</t>
  </si>
  <si>
    <t xml:space="preserve">row 5</t>
  </si>
  <si>
    <t xml:space="preserve">COGS per Unit (CAD)</t>
  </si>
  <si>
    <t xml:space="preserve">row 15</t>
  </si>
  <si>
    <t xml:space="preserve">Bridge T1 Timing (month #)</t>
  </si>
  <si>
    <t xml:space="preserve">row 31</t>
  </si>
  <si>
    <t xml:space="preserve">row 29</t>
  </si>
  <si>
    <t xml:space="preserve">Backlog Cancellation Rate / month</t>
  </si>
  <si>
    <t xml:space="preserve">row 57</t>
  </si>
  <si>
    <t xml:space="preserve">DTC Enabled (0=No, 1=Yes)</t>
  </si>
  <si>
    <t xml:space="preserve">row 67</t>
  </si>
  <si>
    <t xml:space="preserve">SaaS Enabled (0=No, 1=Yes)</t>
  </si>
  <si>
    <t xml:space="preserve">row 77</t>
  </si>
  <si>
    <t xml:space="preserve">§4.1  OUTPUT COMPARISON PANEL  (run each scenario → record results below)</t>
  </si>
  <si>
    <t xml:space="preserve">KPI</t>
  </si>
  <si>
    <t xml:space="preserve">Min Cash Balance (18 mo)</t>
  </si>
  <si>
    <t xml:space="preserve">Breakeven Month (1st +ve cumul NI)</t>
  </si>
  <si>
    <t xml:space="preserve">Year-1 Gross Profit (M1–M12)</t>
  </si>
  <si>
    <t xml:space="preserve">18-Month Cumul Net Income</t>
  </si>
  <si>
    <t xml:space="preserve">Ending Cash (M18)</t>
  </si>
  <si>
    <t xml:space="preserve">▶ BASE column shows live formulas. To capture BEAR/BULL: select BEAR or BULL in 1_Inputs!B109 → record outputs in yellow cells above. Then return selector to BASE.</t>
  </si>
  <si>
    <t xml:space="preserve">✅  AT-1 LIVE CHECK (BASE scenario) — BS must balance ±$1 all 18 months</t>
  </si>
  <si>
    <t xml:space="preserve">Month → Jan-26  Feb-26  Mar-26  Apr-26  May-26  Jun-26  Jul-26  Aug-26  Sep-26  Oct-26  Nov-26  Dec-26  Jan-27  Feb-27  Mar-27  Apr-27  May-27  Jun-27</t>
  </si>
  <si>
    <t xml:space="preserve">AT-1 Results (live from 6_BS row 37)</t>
  </si>
  <si>
    <t xml:space="preserve">UMAY CARE — SENSITIVITY ANALYSIS (Tornado Data)</t>
  </si>
  <si>
    <t xml:space="preserve">±20% swing from BASE case on each primary driver  |  Output 1: Min Cash Balance (18mo)  |  Output 2: Year-1 Gross Profit (M1–M12)</t>
  </si>
  <si>
    <t xml:space="preserve">§4.2  BASE CASE REFERENCE VALUES (live from model)</t>
  </si>
  <si>
    <t xml:space="preserve">Min Cash Balance (BASE, 18mo)</t>
  </si>
  <si>
    <t xml:space="preserve">Year-1 GP (BASE, M1–M12)</t>
  </si>
  <si>
    <t xml:space="preserve">(18-mo Cumul NI base)</t>
  </si>
  <si>
    <t xml:space="preserve">§4.2  TORNADO DATA TABLE — Input each ±20% value; record output after running scenario</t>
  </si>
  <si>
    <t xml:space="preserve">Driver</t>
  </si>
  <si>
    <t xml:space="preserve">Base Value</t>
  </si>
  <si>
    <t xml:space="preserve">−20% Input</t>
  </si>
  <si>
    <t xml:space="preserve">−20% Output</t>
  </si>
  <si>
    <t xml:space="preserve">+20% Input</t>
  </si>
  <si>
    <t xml:space="preserve">+20% Output</t>
  </si>
  <si>
    <t xml:space="preserve">Swing</t>
  </si>
  <si>
    <t xml:space="preserve">(Yellow cells = manually record outputs after running each scenario)</t>
  </si>
  <si>
    <t xml:space="preserve">OUTPUT: Minimum Cash Balance (18mo)</t>
  </si>
  <si>
    <t xml:space="preserve">−20% Output
(manual)</t>
  </si>
  <si>
    <t xml:space="preserve">+20% Output
(manual)</t>
  </si>
  <si>
    <t xml:space="preserve">Swing
(+20 − −20)</t>
  </si>
  <si>
    <t xml:space="preserve">Activation Rate (CA+US / mo)</t>
  </si>
  <si>
    <t xml:space="preserve">Backlog Cancellation Rate / mo</t>
  </si>
  <si>
    <t xml:space="preserve">OUTPUT: Year-1 Gross Profit (M1–M12)</t>
  </si>
  <si>
    <t xml:space="preserve">📋 HOW TO USE:  (1) Change 1_Inputs driver to the −20% value shown in col C. (2) Record the resulting KPI in the yellow col D cell. (3) Repeat with +20% value (col E) → record in col F. (4) Restore original input. Col G swing auto-calculates. Sort by |Swing| descending to build tornado chart.</t>
  </si>
  <si>
    <t xml:space="preserve">✅  AT-1 LIVE CHECK (current model state)</t>
  </si>
  <si>
    <t xml:space="preserve">Balance Sheet check (all 18 months):</t>
  </si>
  <si>
    <t xml:space="preserve">✅  AT-16 GATE — BASE selector must produce same outputs as v4</t>
  </si>
  <si>
    <t xml:space="preserve">Current Selector Value:</t>
  </si>
  <si>
    <t xml:space="preserve">← Must read BASE for AT-16 to pass</t>
  </si>
  <si>
    <t xml:space="preserve">AT-16 Result:</t>
  </si>
  <si>
    <t xml:space="preserve">  DCF VALUATION — TWO-TIER APPROACH</t>
  </si>
  <si>
    <t xml:space="preserve">  SECTION 1: MONTHLY FREE CASH FLOW (M1–M18)</t>
  </si>
  <si>
    <t xml:space="preserve">Month #</t>
  </si>
  <si>
    <t xml:space="preserve">Net Revenue (CAD)</t>
  </si>
  <si>
    <t xml:space="preserve">Net Income (CAD)</t>
  </si>
  <si>
    <t xml:space="preserve">Operating Cash Flow (CAD)</t>
  </si>
  <si>
    <t xml:space="preserve">Investing CF / CapEx (CAD)</t>
  </si>
  <si>
    <t xml:space="preserve">FREE CASH FLOW (CAD)</t>
  </si>
  <si>
    <t xml:space="preserve">  SECTION 2: ANNUAL EXTRAPOLATION (Y2–Y5)</t>
  </si>
  <si>
    <t xml:space="preserve">ⓘ  FLOOR VIEW (rows above): Y2 = annualized M12–M17 run-rate. Capital-constrained; 5 of 6 averaged months have $0 revenue. See FUNDED BASELINE section below (row 83) for the investor-facing upside view. SaaS flag: if 1_Inputs!B77=1, MRR enters M12–M17, lifting this baseline and justifying higher exit multiples.</t>
  </si>
  <si>
    <t xml:space="preserve">Y2 (2027)</t>
  </si>
  <si>
    <t xml:space="preserve">Y3 (2028)</t>
  </si>
  <si>
    <t xml:space="preserve">Y4 (2029)</t>
  </si>
  <si>
    <t xml:space="preserve">Y5 (2030)</t>
  </si>
  <si>
    <t xml:space="preserve">Revenue (CAD)</t>
  </si>
  <si>
    <t xml:space="preserve">COGS (CAD)</t>
  </si>
  <si>
    <t xml:space="preserve">Gross Profit (CAD)</t>
  </si>
  <si>
    <t xml:space="preserve">Operating Expenses (CAD)</t>
  </si>
  <si>
    <t xml:space="preserve">EBITDA (CAD)</t>
  </si>
  <si>
    <t xml:space="preserve">FCF ≈ EBITDA (simplified, no CapEx/Interest)</t>
  </si>
  <si>
    <t xml:space="preserve">  SECTION 3: DCF CALCULATION</t>
  </si>
  <si>
    <t xml:space="preserve">Monthly Discounted FCFs</t>
  </si>
  <si>
    <t xml:space="preserve">FCF (CAD)</t>
  </si>
  <si>
    <t xml:space="preserve">Discount Factor (1/(1+WACC/12)^m)</t>
  </si>
  <si>
    <t xml:space="preserve">PV of Monthly FCF (CAD)</t>
  </si>
  <si>
    <t xml:space="preserve">Σ PV Monthly FCFs (CAD)</t>
  </si>
  <si>
    <t xml:space="preserve">Annual Discounted FCFs (Y2–Y5)</t>
  </si>
  <si>
    <t xml:space="preserve">Y2</t>
  </si>
  <si>
    <t xml:space="preserve">Y3</t>
  </si>
  <si>
    <t xml:space="preserve">Y4</t>
  </si>
  <si>
    <t xml:space="preserve">Y5</t>
  </si>
  <si>
    <t xml:space="preserve">FCF Annual (CAD)</t>
  </si>
  <si>
    <t xml:space="preserve">Discount Factor</t>
  </si>
  <si>
    <t xml:space="preserve">PV of Annual FCF (CAD)</t>
  </si>
  <si>
    <t xml:space="preserve">Σ PV Annual FCFs (CAD)</t>
  </si>
  <si>
    <t xml:space="preserve">TOTAL PV of FCFs — Tier 1 + Tier 2 (CAD)</t>
  </si>
  <si>
    <t xml:space="preserve">  SECTION 4: TERMINAL VALUE</t>
  </si>
  <si>
    <t xml:space="preserve">EBITDA Y5 (CAD)</t>
  </si>
  <si>
    <t xml:space="preserve">FCF Y5 (CAD)</t>
  </si>
  <si>
    <t xml:space="preserve">TV — Gordon Growth (CAD)</t>
  </si>
  <si>
    <t xml:space="preserve">TV — Exit Multiple (CAD)</t>
  </si>
  <si>
    <t xml:space="preserve">PV of TV (Gordon Growth)</t>
  </si>
  <si>
    <t xml:space="preserve">PV of TV (Exit Multiple)</t>
  </si>
  <si>
    <t xml:space="preserve">ENTERPRISE VALUE — Gordon Growth (CAD)</t>
  </si>
  <si>
    <t xml:space="preserve">ENTERPRISE VALUE — Exit Multiple Base (CAD)</t>
  </si>
  <si>
    <t xml:space="preserve">  SECTION 5: SENSITIVITY MATRIX — WACC × EXIT MULTIPLE</t>
  </si>
  <si>
    <t xml:space="preserve">Helper: PV of All FCFs at Varied WACCs (Internal Calculation)</t>
  </si>
  <si>
    <t xml:space="preserve">WACC 20%</t>
  </si>
  <si>
    <t xml:space="preserve">WACC 25%</t>
  </si>
  <si>
    <t xml:space="preserve">WACC 30%</t>
  </si>
  <si>
    <t xml:space="preserve">WACC 35%</t>
  </si>
  <si>
    <t xml:space="preserve">PV Monthly FCFs M1–M18 (CAD)</t>
  </si>
  <si>
    <t xml:space="preserve">PV Annual FCFs Y2–Y5 (CAD)</t>
  </si>
  <si>
    <t xml:space="preserve">Total PV FCFs (CAD)</t>
  </si>
  <si>
    <t xml:space="preserve">Enterprise Value ($CAD) — Exit Multiple × WACC Sensitivity</t>
  </si>
  <si>
    <t xml:space="preserve">Exit Mult  ↓   WACC →</t>
  </si>
  <si>
    <t xml:space="preserve">20%</t>
  </si>
  <si>
    <t xml:space="preserve">30%</t>
  </si>
  <si>
    <t xml:space="preserve">35%</t>
  </si>
  <si>
    <t xml:space="preserve">5×</t>
  </si>
  <si>
    <t xml:space="preserve">8×</t>
  </si>
  <si>
    <t xml:space="preserve">10×</t>
  </si>
  <si>
    <t xml:space="preserve">12×</t>
  </si>
  <si>
    <t xml:space="preserve">  SECTION 6: VALUATION COMPARISON</t>
  </si>
  <si>
    <t xml:space="preserve">Benchmark</t>
  </si>
  <si>
    <t xml:space="preserve">Value ($CAD)</t>
  </si>
  <si>
    <t xml:space="preserve">Notes</t>
  </si>
  <si>
    <t xml:space="preserve">Last Round Valuation (Dec-22)</t>
  </si>
  <si>
    <t xml:space="preserve">Hardcoded: last priced round</t>
  </si>
  <si>
    <t xml:space="preserve">Current Pre-Money (Proposed)</t>
  </si>
  <si>
    <t xml:space="preserve">From 1_Inputs</t>
  </si>
  <si>
    <t xml:space="preserve">Raise Amount (Proposed)</t>
  </si>
  <si>
    <t xml:space="preserve">Post-Money (Proposed)</t>
  </si>
  <si>
    <t xml:space="preserve">Pre + raise</t>
  </si>
  <si>
    <t xml:space="preserve">DCF Enterprise Value (Gordon Growth)</t>
  </si>
  <si>
    <t xml:space="preserve">Two-tier DCF</t>
  </si>
  <si>
    <t xml:space="preserve">DCF Enterprise Value (Exit Multiple)</t>
  </si>
  <si>
    <t xml:space="preserve">Base case 8×</t>
  </si>
  <si>
    <t xml:space="preserve">Premium/(Discount) to Last Round — GG</t>
  </si>
  <si>
    <t xml:space="preserve">GG method</t>
  </si>
  <si>
    <t xml:space="preserve">Premium/(Discount) to Last Round — EM</t>
  </si>
  <si>
    <t xml:space="preserve">EM method</t>
  </si>
  <si>
    <t xml:space="preserve">DCF vs Proposed Pre-Money — GG</t>
  </si>
  <si>
    <t xml:space="preserve">DCF vs Proposed Pre-Money — EM</t>
  </si>
  <si>
    <t xml:space="preserve">  SECTION 7: FUNDED BASELINE — M10–M11 Run-Rate (Post-PO2 Selling Period)</t>
  </si>
  <si>
    <t xml:space="preserve">ⓘ  M10–M11 (Oct–Nov 2026) are the two healthy PO2 selling months — after inventory arrives and before depletion. Avg revenue $432K/mo. This baseline represents "what the funded business looks like with continuous inventory." Y2 funded = $432K × 12 = $5.18M. Use this range for investor narrative; use Section 2 as the floor.</t>
  </si>
  <si>
    <t xml:space="preserve">Y2-Funded</t>
  </si>
  <si>
    <t xml:space="preserve">Revenue — Funded Baseline (CAD)</t>
  </si>
  <si>
    <t xml:space="preserve">FCF ≈ EBITDA (CAD)</t>
  </si>
  <si>
    <t xml:space="preserve">Σ PV Funded Annual FCFs Y2–Y5 (CAD)</t>
  </si>
  <si>
    <t xml:space="preserve">TV — Gordon Growth on Funded Y5 FCF (CAD)</t>
  </si>
  <si>
    <t xml:space="preserve">TV — Exit Multiple on Funded Y5 EBITDA (CAD)</t>
  </si>
  <si>
    <t xml:space="preserve">PV of Funded TV — Gordon Growth (CAD)</t>
  </si>
  <si>
    <t xml:space="preserve">PV of Funded TV — Exit Multiple (CAD)</t>
  </si>
  <si>
    <t xml:space="preserve">FUNDED EV — Gordon Growth (CAD)</t>
  </si>
  <si>
    <t xml:space="preserve">FUNDED EV — Exit Multiple Base (CAD)</t>
  </si>
  <si>
    <t xml:space="preserve">  FUNDED vs FLOOR vs BENCHMARKS</t>
  </si>
  <si>
    <t xml:space="preserve">Metric</t>
  </si>
  <si>
    <t xml:space="preserve">Floor EV ($CAD)</t>
  </si>
  <si>
    <t xml:space="preserve">Funded EV ($CAD)</t>
  </si>
  <si>
    <t xml:space="preserve">Uplift (Funded vs Floor)</t>
  </si>
  <si>
    <t xml:space="preserve">Gordon Growth Method</t>
  </si>
  <si>
    <t xml:space="preserve">Exit Multiple Method (base)</t>
  </si>
  <si>
    <t xml:space="preserve">Last Round ($7.5M)</t>
  </si>
  <si>
    <t xml:space="preserve">% of Last Round — Floor</t>
  </si>
  <si>
    <t xml:space="preserve">% of Last Round — Funded</t>
  </si>
  <si>
    <t xml:space="preserve">INVESTOR NARRATIVE: The floor EV (~$607K–$655K) represents the capital-constrained state — correct but incomplete. The funded EV (~$3.0M–$4.5M at 25% WACC, depending on method) represents what continuous inventory unlocks: $5.2M Y2 revenue growing at 40/30/20% to ~$8.4M by Y5. The $2M raise funds this transition. Neither number supports the $7.5M last-round valuation on a DCF basis alone — the premium is justified by platform optionality (RestScan, closed-loop data moat).</t>
  </si>
  <si>
    <t xml:space="preserve">  FUNDED SENSITIVITY — WACC × EXIT MULTIPLE</t>
  </si>
  <si>
    <t xml:space="preserve">  CLINIC ECONOMICS — LTV / CAC ANALYSIS</t>
  </si>
  <si>
    <t xml:space="preserve">  SECTION 1: KEY INPUTS</t>
  </si>
  <si>
    <t xml:space="preserve">Wholesale Price / Unit (CAD)</t>
  </si>
  <si>
    <t xml:space="preserve">COGS / Unit (CAD)</t>
  </si>
  <si>
    <t xml:space="preserve">All-in landed</t>
  </si>
  <si>
    <t xml:space="preserve">Gross Profit / Unit (CAD)</t>
  </si>
  <si>
    <t xml:space="preserve">Auto-calc</t>
  </si>
  <si>
    <t xml:space="preserve">Weighted avg</t>
  </si>
  <si>
    <t xml:space="preserve">~2-year device lifetime</t>
  </si>
  <si>
    <t xml:space="preserve">Super-Clinic analysis</t>
  </si>
  <si>
    <t xml:space="preserve">SaaS Enabled</t>
  </si>
  <si>
    <t xml:space="preserve">0=off, 1=on</t>
  </si>
  <si>
    <t xml:space="preserve">SaaS Fee / Clinic / Month (CAD)</t>
  </si>
  <si>
    <t xml:space="preserve">SaaS Adoption %</t>
  </si>
  <si>
    <t xml:space="preserve">  SECTION 2: LTV MODEL PER CLINIC</t>
  </si>
  <si>
    <t xml:space="preserve">Component</t>
  </si>
  <si>
    <t xml:space="preserve">Initial Order Revenue</t>
  </si>
  <si>
    <t xml:space="preserve">price × init units</t>
  </si>
  <si>
    <t xml:space="preserve">Initial Order Gross Profit</t>
  </si>
  <si>
    <t xml:space="preserve">GP/unit × init units</t>
  </si>
  <si>
    <t xml:space="preserve">Reorder Revenue (per cycle)</t>
  </si>
  <si>
    <t xml:space="preserve">price × reorder × prob</t>
  </si>
  <si>
    <t xml:space="preserve">Reorder GP (per cycle)</t>
  </si>
  <si>
    <t xml:space="preserve">GP/unit × reorder × prob</t>
  </si>
  <si>
    <t xml:space="preserve">Total Reorder Revenue (all cycles)</t>
  </si>
  <si>
    <t xml:space="preserve">per-cycle × expected cycles</t>
  </si>
  <si>
    <t xml:space="preserve">Total Reorder GP (all cycles)</t>
  </si>
  <si>
    <t xml:space="preserve">SaaS Revenue (24-mo horizon)</t>
  </si>
  <si>
    <t xml:space="preserve">if SaaS on</t>
  </si>
  <si>
    <t xml:space="preserve">SaaS GP (24-mo horizon)</t>
  </si>
  <si>
    <t xml:space="preserve">TOTAL CLINIC LTV — Revenue (CAD)</t>
  </si>
  <si>
    <t xml:space="preserve">TOTAL CLINIC LTV — Gross Profit (CAD)</t>
  </si>
  <si>
    <t xml:space="preserve">  SECTION 3: CAC &amp; RETURN METRICS</t>
  </si>
  <si>
    <t xml:space="preserve">Source: 1_Inputs</t>
  </si>
  <si>
    <t xml:space="preserve">Rev LTV / CAC</t>
  </si>
  <si>
    <t xml:space="preserve">LTV:CAC — Gross Profit</t>
  </si>
  <si>
    <t xml:space="preserve">GP LTV / CAC</t>
  </si>
  <si>
    <t xml:space="preserve">GP / Clinic / Month (Yr 1 est)</t>
  </si>
  <si>
    <t xml:space="preserve">Updated: Total LTV GP ÷ 24mo (was: init GP ÷ 12mo only)</t>
  </si>
  <si>
    <t xml:space="preserve">Payback Period (months)</t>
  </si>
  <si>
    <t xml:space="preserve">CAC / monthly GP</t>
  </si>
  <si>
    <t xml:space="preserve">Monthly Gross Profit per Active Clinic</t>
  </si>
  <si>
    <t xml:space="preserve">Avg over 24-mo LTV</t>
  </si>
  <si>
    <t xml:space="preserve">  SECTION 4: COHORT TABLE — MONTHLY ACTIVATIONS</t>
  </si>
  <si>
    <t xml:space="preserve">Period</t>
  </si>
  <si>
    <t xml:space="preserve">New Clinics</t>
  </si>
  <si>
    <t xml:space="preserve">Cumulative</t>
  </si>
  <si>
    <t xml:space="preserve">Init Rev ($)</t>
  </si>
  <si>
    <t xml:space="preserve">Init GP ($)</t>
  </si>
  <si>
    <t xml:space="preserve">Est Reorder Rev ($)</t>
  </si>
  <si>
    <t xml:space="preserve">Cohort LTV Rev ($)</t>
  </si>
  <si>
    <t xml:space="preserve">  SECTION 5: SUPER-CLINIC INSIGHTS</t>
  </si>
  <si>
    <t xml:space="preserve">~8 Super-Clinics drive 80% volume | 53% activation rate | ~60% reorder rate | 8–12 week sales cycle</t>
  </si>
  <si>
    <t xml:space="preserve">Super-Clinic LTV — Revenue (1.5× avg)</t>
  </si>
  <si>
    <t xml:space="preserve">Super-Clinic LTV — Gross Profit (1.5× avg)</t>
  </si>
  <si>
    <t xml:space="preserve">Super-Clinic LTV:CAC</t>
  </si>
  <si>
    <t xml:space="preserve">UMAY CARE — CHANNEL VALUE ANALYSIS (Phase 8)</t>
  </si>
  <si>
    <t xml:space="preserve">Estimates acquisition value if Umay is distributed through a strategic partner's clinic network (e.g. Alcon, J&amp;J Vision). 5-year PV of incremental revenue + DCF + strategic premium = implied acquisition price.</t>
  </si>
  <si>
    <t xml:space="preserve">A.  KEY INPUTS (from 1_Inputs)</t>
  </si>
  <si>
    <t xml:space="preserve">Penetration Rate — Year 1</t>
  </si>
  <si>
    <t xml:space="preserve">Penetration Rate — Year 3</t>
  </si>
  <si>
    <t xml:space="preserve">WACC (from DCF inputs)</t>
  </si>
  <si>
    <t xml:space="preserve">DCF EV — Exit Multiple (CAD)</t>
  </si>
  <si>
    <t xml:space="preserve">Last Round Valuation (CAD)</t>
  </si>
  <si>
    <t xml:space="preserve">B.  5-YEAR CHANNEL REVENUE PROJECTION</t>
  </si>
  <si>
    <t xml:space="preserve">Assumes linear ramp from Year-1 penetration to Year-3 penetration, then flat.</t>
  </si>
  <si>
    <t xml:space="preserve">Y1</t>
  </si>
  <si>
    <t xml:space="preserve">Clinic Network Size</t>
  </si>
  <si>
    <t xml:space="preserve">Penetration Rate</t>
  </si>
  <si>
    <t xml:space="preserve">Clinics Adopted</t>
  </si>
  <si>
    <t xml:space="preserve">Revenue / Clinic (CAD/yr)</t>
  </si>
  <si>
    <t xml:space="preserve">Annual Channel Revenue (CAD)</t>
  </si>
  <si>
    <t xml:space="preserve">C.  CHANNEL VALUE — PV OF 5-YEAR INCREMENTAL REVENUE</t>
  </si>
  <si>
    <t xml:space="preserve">Discount Factor Y1</t>
  </si>
  <si>
    <t xml:space="preserve">Discount Factor Y2</t>
  </si>
  <si>
    <t xml:space="preserve">Discount Factor Y3</t>
  </si>
  <si>
    <t xml:space="preserve">Discount Factor Y4</t>
  </si>
  <si>
    <t xml:space="preserve">Discount Factor Y5</t>
  </si>
  <si>
    <t xml:space="preserve">PV Y1 Revenue (CAD)</t>
  </si>
  <si>
    <t xml:space="preserve">PV Y2 Revenue (CAD)</t>
  </si>
  <si>
    <t xml:space="preserve">PV Y3 Revenue (CAD)</t>
  </si>
  <si>
    <t xml:space="preserve">PV Y4 Revenue (CAD)</t>
  </si>
  <si>
    <t xml:space="preserve">PV Y5 Revenue (CAD)</t>
  </si>
  <si>
    <t xml:space="preserve">CHANNEL VALUE — Total PV (CAD)</t>
  </si>
  <si>
    <t xml:space="preserve">D.  IMPLIED ACQUISITION PRICE</t>
  </si>
  <si>
    <t xml:space="preserve">Standalone DCF EV — Exit Multiple (CAD)</t>
  </si>
  <si>
    <t xml:space="preserve">Channel Value — PV of 5-yr Revenue (CAD)</t>
  </si>
  <si>
    <t xml:space="preserve">Strategic Premium % (on channel value)</t>
  </si>
  <si>
    <t xml:space="preserve">Strategic Premium Amount (CAD)</t>
  </si>
  <si>
    <t xml:space="preserve">TOTAL IMPLIED ACQUISITION PRICE (CAD)</t>
  </si>
  <si>
    <t xml:space="preserve">Last Round Valuation (Dec-22, CAD)</t>
  </si>
  <si>
    <t xml:space="preserve">Premium to Last Round</t>
  </si>
  <si>
    <t xml:space="preserve">Premium to Standalone DCF</t>
  </si>
  <si>
    <t xml:space="preserve">E.  SENSITIVITY MATRIX — Annual Channel Revenue (CAD)</t>
  </si>
  <si>
    <t xml:space="preserve">Rows = Penetration Rate (Y3 mature); Columns = Revenue per Clinic (CAD/yr). Values = Year-3 Annual Revenue.</t>
  </si>
  <si>
    <t xml:space="preserve">Penetration ↓  /  Rev/Clinic →</t>
  </si>
  <si>
    <t xml:space="preserve">★ Base case (15% penetration × $8K/clinic) highlighted green. Network size fixed at 5,000 clinics (edit 1_Inputs!B127 to adjust).</t>
  </si>
  <si>
    <t xml:space="preserve">UMAY CARE — IP REGISTRY &amp; KEY PERSON RISK (Phase 8)</t>
  </si>
  <si>
    <t xml:space="preserve">Static reference table for M&amp;A diligence. Non-formula driven. Replacement cost estimates to be confirmed by Ali.</t>
  </si>
  <si>
    <t xml:space="preserve">Asset Name</t>
  </si>
  <si>
    <t xml:space="preserve">Asset Type</t>
  </si>
  <si>
    <t xml:space="preserve">Status</t>
  </si>
  <si>
    <t xml:space="preserve">KPR Level</t>
  </si>
  <si>
    <t xml:space="preserve">Key Person</t>
  </si>
  <si>
    <t xml:space="preserve">Mitigation Notes</t>
  </si>
  <si>
    <t xml:space="preserve">Replacement Cost (CAD)</t>
  </si>
  <si>
    <t xml:space="preserve">Acquirer Value Notes</t>
  </si>
  <si>
    <t xml:space="preserve">Pulsing Thermal Technology</t>
  </si>
  <si>
    <t xml:space="preserve">Trade Secret / Patent</t>
  </si>
  <si>
    <t xml:space="preserve">Active</t>
  </si>
  <si>
    <t xml:space="preserve">MEDIUM</t>
  </si>
  <si>
    <t xml:space="preserve">Ali / Sharmin</t>
  </si>
  <si>
    <t xml:space="preserve">Documented in engineering logs; co-inventor structure reduces single-person risk. Patent application advisable.</t>
  </si>
  <si>
    <t xml:space="preserve">TBD — est. $250K–$500K to replicate clinical validation</t>
  </si>
  <si>
    <t xml:space="preserve">Core therapeutic differentiator. Protectable as patent; defensible moat vs. heat-pad competitors.</t>
  </si>
  <si>
    <t xml:space="preserve">RestScan CV Pipeline</t>
  </si>
  <si>
    <t xml:space="preserve">Software / Algorithm</t>
  </si>
  <si>
    <t xml:space="preserve">POC</t>
  </si>
  <si>
    <t xml:space="preserve">HIGH</t>
  </si>
  <si>
    <t xml:space="preserve">Ali</t>
  </si>
  <si>
    <t xml:space="preserve">Source code in version control; architecture documented. Knowledge transfer plan needed pre-close.</t>
  </si>
  <si>
    <t xml:space="preserve">TBD — est. $300K–$600K in CV engineering + validation</t>
  </si>
  <si>
    <t xml:space="preserve">Platform optionality. High acquirer value if integrated with diagnostic workflow or EHR.</t>
  </si>
  <si>
    <t xml:space="preserve">FOARA Signal Framework</t>
  </si>
  <si>
    <t xml:space="preserve">Methodology</t>
  </si>
  <si>
    <t xml:space="preserve">Conceptual</t>
  </si>
  <si>
    <t xml:space="preserve">Conceptual documentation in Obsidian; publish white paper or internal memo to de-risk.</t>
  </si>
  <si>
    <t xml:space="preserve">TBD — est. $150K–$400K to replicate with comparable expertise</t>
  </si>
  <si>
    <t xml:space="preserve">Long-term platform vision. Acquirer buys IP roadmap, not just current signals.</t>
  </si>
  <si>
    <t xml:space="preserve">Clinical Data — Habib et al. 2025</t>
  </si>
  <si>
    <t xml:space="preserve">Data Asset (N=500)</t>
  </si>
  <si>
    <t xml:space="preserve">Dr. Sharmin Habib</t>
  </si>
  <si>
    <t xml:space="preserve">Manuscript in draft; government-backed pilot. IRB/ethics paperwork should be archived pre-close.</t>
  </si>
  <si>
    <t xml:space="preserve">TBD — est. $500K–$1M to replicate (trial cost + time)</t>
  </si>
  <si>
    <t xml:space="preserve">Only N=500 RCT-grade thermal therapy dataset. 87% eye comfort improvement. Regulatory asset.</t>
  </si>
  <si>
    <t xml:space="preserve">Clinic Network (107 total, 42 active)</t>
  </si>
  <si>
    <t xml:space="preserve">Distribution</t>
  </si>
  <si>
    <t xml:space="preserve">LOW</t>
  </si>
  <si>
    <t xml:space="preserve">Sales team / Ali</t>
  </si>
  <si>
    <t xml:space="preserve">Clinic agreements on file; relationship depth varies. Super-Clinic contracts are key.</t>
  </si>
  <si>
    <t xml:space="preserve">TBD — est. $200K–$500K in CAC to rebuild</t>
  </si>
  <si>
    <t xml:space="preserve">Existing B2B2C channel bypasses cold-start problem for acquirer entering optometry.</t>
  </si>
  <si>
    <t xml:space="preserve">IoT Telemetry (2,847 devices)</t>
  </si>
  <si>
    <t xml:space="preserve">Data Asset</t>
  </si>
  <si>
    <t xml:space="preserve">Automated pipeline</t>
  </si>
  <si>
    <t xml:space="preserve">Cloud-hosted; no single-person dependency. Data governance policy recommended pre-close.</t>
  </si>
  <si>
    <t xml:space="preserve">TBD — est. $50K–$150K for comparable dataset assembly</t>
  </si>
  <si>
    <t xml:space="preserve">Usage + compliance data provides closed-loop proof; acquirer can layer proprietary diagnostics.</t>
  </si>
  <si>
    <t xml:space="preserve">Precision Downtime Brand</t>
  </si>
  <si>
    <t xml:space="preserve">Trademark</t>
  </si>
  <si>
    <t xml:space="preserve">N/A</t>
  </si>
  <si>
    <t xml:space="preserve">Category creation positioning; formal trademark registration advisable.</t>
  </si>
  <si>
    <t xml:space="preserve">TBD — est. $20K–$60K in brand development</t>
  </si>
  <si>
    <t xml:space="preserve">Emerging category 'Precision Downtime' positions Umay above commodity eye-mask segment.</t>
  </si>
  <si>
    <t xml:space="preserve">Claims Governance (4-Tier System)</t>
  </si>
  <si>
    <t xml:space="preserve">Process IP</t>
  </si>
  <si>
    <t xml:space="preserve">Documented 5-gate advancement system; can be handed off with documentation.</t>
  </si>
  <si>
    <t xml:space="preserve">TBD — est. $30K–$80K in regulatory/compliance consulting to rebuild</t>
  </si>
  <si>
    <t xml:space="preserve">Reduces regulatory risk for acquirer; Health Canada precedent already established.</t>
  </si>
  <si>
    <t xml:space="preserve">Manufacturing Relationship</t>
  </si>
  <si>
    <t xml:space="preserve">Supply Chain</t>
  </si>
  <si>
    <t xml:space="preserve">Active PO; relationship with contract manufacturer. Introduce second contact pre-close.</t>
  </si>
  <si>
    <t xml:space="preserve">TBD — est. $50K–$150K in tooling, sampling, qualification to replace</t>
  </si>
  <si>
    <t xml:space="preserve">Validated COGS at $152 CAD with sub-6-week lead times. Acquirer inherits proven supply chain.</t>
  </si>
  <si>
    <t xml:space="preserve">KEY PERSON RISK SUMMARY</t>
  </si>
  <si>
    <t xml:space="preserve">assets</t>
  </si>
  <si>
    <t xml:space="preserve">⚠  ACQUISITION RISK FLAG: RestScan CV Pipeline and FOARA Signal Framework both carry HIGH key-person risk concentrated in Ali. Recommend: (1) architecture documentation sprint, (2) escrow of source code with annotated comments, (3) knowledge-transfer sessions included in deal terms.</t>
  </si>
  <si>
    <t xml:space="preserve">ⓘ  Replacement cost estimates are indicative and should be confirmed by Ali. Total replacement cost of all 9 assets estimated at $1.5M–$3.5M CAD.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</si>
</sst>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\$#,##0;&quot;($&quot;#,##0\);\-"/>
    <numFmt numFmtId="166" formatCode="0.0\x"/>
    <numFmt numFmtId="167" formatCode="#,##0"/>
    <numFmt numFmtId="168" formatCode="0.0%;\(0.0%\);\-"/>
    <numFmt numFmtId="169" formatCode="0.0%"/>
    <numFmt numFmtId="170" formatCode="\$#,##0"/>
    <numFmt numFmtId="171" formatCode="@"/>
    <numFmt numFmtId="172" formatCode="#,##0;\(#,##0\);\-"/>
    <numFmt numFmtId="173" formatCode="General"/>
    <numFmt numFmtId="174" formatCode="0.00%"/>
    <numFmt numFmtId="175" formatCode="\$#,##0.0000"/>
    <numFmt numFmtId="176" formatCode="0;\(0\);\-"/>
    <numFmt numFmtId="177" formatCode="0"/>
    <numFmt numFmtId="178" formatCode="#,##0;\(#,##0\);\Ne\ver"/>
    <numFmt numFmtId="179" formatCode="0.0000"/>
    <numFmt numFmtId="180" formatCode="0%"/>
    <numFmt numFmtId="181" formatCode="0.0"/>
    <numFmt numFmtId="182" formatCode="0.000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1B7A6E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7B4F00"/>
      <name val="Arial"/>
      <family val="0"/>
      <charset val="1"/>
    </font>
    <font>
      <sz val="10"/>
      <color rgb="FF8B0000"/>
      <name val="Arial"/>
      <family val="0"/>
      <charset val="1"/>
    </font>
    <font>
      <sz val="11"/>
      <color rgb="FF008000"/>
      <name val="Cambria"/>
      <family val="0"/>
      <charset val="1"/>
    </font>
    <font>
      <sz val="10"/>
      <color rgb="FF008000"/>
      <name val="Arial"/>
      <family val="0"/>
      <charset val="1"/>
    </font>
    <font>
      <sz val="11"/>
      <color rgb="FF000000"/>
      <name val="Cambria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80808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27AE6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392B"/>
      <name val="Arial"/>
      <family val="0"/>
      <charset val="1"/>
    </font>
  </fonts>
  <fills count="37">
    <fill>
      <patternFill patternType="none"/>
    </fill>
    <fill>
      <patternFill patternType="gray125"/>
    </fill>
    <fill>
      <patternFill patternType="solid">
        <fgColor rgb="FF0D2D5E"/>
        <bgColor rgb="FF1F3864"/>
      </patternFill>
    </fill>
    <fill>
      <patternFill patternType="solid">
        <fgColor rgb="FF1B7A6E"/>
        <bgColor rgb="FF2E86AB"/>
      </patternFill>
    </fill>
    <fill>
      <patternFill patternType="solid">
        <fgColor rgb="FF2E75B6"/>
        <bgColor rgb="FF4472C4"/>
      </patternFill>
    </fill>
    <fill>
      <patternFill patternType="solid">
        <fgColor rgb="FFFCE4D6"/>
        <bgColor rgb="FFFADBD8"/>
      </patternFill>
    </fill>
    <fill>
      <patternFill patternType="solid">
        <fgColor rgb="FFDCE6F1"/>
        <bgColor rgb="FFD6E4F0"/>
      </patternFill>
    </fill>
    <fill>
      <patternFill patternType="solid">
        <fgColor rgb="FF0070C0"/>
        <bgColor rgb="FF2E75B6"/>
      </patternFill>
    </fill>
    <fill>
      <patternFill patternType="solid">
        <fgColor rgb="FF7030A0"/>
        <bgColor rgb="FF555555"/>
      </patternFill>
    </fill>
    <fill>
      <patternFill patternType="solid">
        <fgColor rgb="FF833C00"/>
        <bgColor rgb="FF7B4F00"/>
      </patternFill>
    </fill>
    <fill>
      <patternFill patternType="solid">
        <fgColor rgb="FF404040"/>
        <bgColor rgb="FF2E4057"/>
      </patternFill>
    </fill>
    <fill>
      <patternFill patternType="solid">
        <fgColor rgb="FF555555"/>
        <bgColor rgb="FF595959"/>
      </patternFill>
    </fill>
    <fill>
      <patternFill patternType="solid">
        <fgColor rgb="FF222222"/>
        <bgColor rgb="FF0D2D5E"/>
      </patternFill>
    </fill>
    <fill>
      <patternFill patternType="solid">
        <fgColor rgb="FFEBF8F6"/>
        <bgColor rgb="FFF2F2F2"/>
      </patternFill>
    </fill>
    <fill>
      <patternFill patternType="solid">
        <fgColor rgb="FFFFFF00"/>
        <bgColor rgb="FFFFE699"/>
      </patternFill>
    </fill>
    <fill>
      <patternFill patternType="solid">
        <fgColor rgb="FF1F3864"/>
        <bgColor rgb="FF2E4057"/>
      </patternFill>
    </fill>
    <fill>
      <patternFill patternType="solid">
        <fgColor rgb="FFD9E1F2"/>
        <bgColor rgb="FFD6E4F0"/>
      </patternFill>
    </fill>
    <fill>
      <patternFill patternType="solid">
        <fgColor rgb="FFF2F2F2"/>
        <bgColor rgb="FFEBF8F6"/>
      </patternFill>
    </fill>
    <fill>
      <patternFill patternType="solid">
        <fgColor rgb="FFDDDDDD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6E4F7"/>
        <bgColor rgb="FFD6E4F0"/>
      </patternFill>
    </fill>
    <fill>
      <patternFill patternType="solid">
        <fgColor rgb="FFC55A11"/>
        <bgColor rgb="FFE74C3C"/>
      </patternFill>
    </fill>
    <fill>
      <patternFill patternType="solid">
        <fgColor rgb="FF375623"/>
        <bgColor rgb="FF404040"/>
      </patternFill>
    </fill>
    <fill>
      <patternFill patternType="solid">
        <fgColor rgb="FF2E4057"/>
        <bgColor rgb="FF1F3864"/>
      </patternFill>
    </fill>
    <fill>
      <patternFill patternType="solid">
        <fgColor rgb="FFE2EFDA"/>
        <bgColor rgb="FFDCE6F1"/>
      </patternFill>
    </fill>
    <fill>
      <patternFill patternType="solid">
        <fgColor rgb="FF4472C4"/>
        <bgColor rgb="FF2E75B6"/>
      </patternFill>
    </fill>
    <fill>
      <patternFill patternType="solid">
        <fgColor rgb="FFFFE699"/>
        <bgColor rgb="FFFAD7A0"/>
      </patternFill>
    </fill>
    <fill>
      <patternFill patternType="solid">
        <fgColor rgb="FF2E86AB"/>
        <bgColor rgb="FF2E75B6"/>
      </patternFill>
    </fill>
    <fill>
      <patternFill patternType="solid">
        <fgColor rgb="FFD6E4F0"/>
        <bgColor rgb="FFD6E4F7"/>
      </patternFill>
    </fill>
    <fill>
      <patternFill patternType="solid">
        <fgColor rgb="FFD6EAF8"/>
        <bgColor rgb="FFD6E4F7"/>
      </patternFill>
    </fill>
    <fill>
      <patternFill patternType="solid">
        <fgColor rgb="FFABEBC6"/>
        <bgColor rgb="FFD6E4F0"/>
      </patternFill>
    </fill>
    <fill>
      <patternFill patternType="solid">
        <fgColor rgb="FFF39C12"/>
        <bgColor rgb="FFED7D31"/>
      </patternFill>
    </fill>
    <fill>
      <patternFill patternType="solid">
        <fgColor rgb="FFFAD7A0"/>
        <bgColor rgb="FFFFE699"/>
      </patternFill>
    </fill>
    <fill>
      <patternFill patternType="solid">
        <fgColor rgb="FFE74C3C"/>
        <bgColor rgb="FFC55A11"/>
      </patternFill>
    </fill>
    <fill>
      <patternFill patternType="solid">
        <fgColor rgb="FFFDFEFE"/>
        <bgColor rgb="FFFFFFFF"/>
      </patternFill>
    </fill>
    <fill>
      <patternFill patternType="solid">
        <fgColor rgb="FF27AE60"/>
        <bgColor rgb="FF00B050"/>
      </patternFill>
    </fill>
    <fill>
      <patternFill patternType="solid">
        <fgColor rgb="FFFADBD8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6" fontId="3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4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9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0" fillId="2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9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9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9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3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3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C55A11"/>
      <rgbColor rgb="FFDCE6F1"/>
      <rgbColor rgb="FF8B0000"/>
      <rgbColor rgb="FF008000"/>
      <rgbColor rgb="FF375623"/>
      <rgbColor rgb="FF548235"/>
      <rgbColor rgb="FFC00000"/>
      <rgbColor rgb="FF1B7A6E"/>
      <rgbColor rgb="FFAAAAAA"/>
      <rgbColor rgb="FF808080"/>
      <rgbColor rgb="FFD6E4F7"/>
      <rgbColor rgb="FFC0392B"/>
      <rgbColor rgb="FFFFF2CC"/>
      <rgbColor rgb="FFD6EAF8"/>
      <rgbColor rgb="FF555555"/>
      <rgbColor rgb="FFE74C3C"/>
      <rgbColor rgb="FF0070C0"/>
      <rgbColor rgb="FFD9E1F2"/>
      <rgbColor rgb="FF7B4F00"/>
      <rgbColor rgb="FFFF00FF"/>
      <rgbColor rgb="FFF2F2F2"/>
      <rgbColor rgb="FFFDFEFE"/>
      <rgbColor rgb="FF595959"/>
      <rgbColor rgb="FFBF0000"/>
      <rgbColor rgb="FF2E86AB"/>
      <rgbColor rgb="FF0000FF"/>
      <rgbColor rgb="FF2E75B6"/>
      <rgbColor rgb="FFEBF8F6"/>
      <rgbColor rgb="FFE2EFDA"/>
      <rgbColor rgb="FFFFE699"/>
      <rgbColor rgb="FFABEBC6"/>
      <rgbColor rgb="FFFADBD8"/>
      <rgbColor rgb="FFDDDDDD"/>
      <rgbColor rgb="FFFAD7A0"/>
      <rgbColor rgb="FF4472C4"/>
      <rgbColor rgb="FF00B050"/>
      <rgbColor rgb="FFD6E4F0"/>
      <rgbColor rgb="FFFCE4D6"/>
      <rgbColor rgb="FFF39C12"/>
      <rgbColor rgb="FFED7D31"/>
      <rgbColor rgb="FF666666"/>
      <rgbColor rgb="FF888888"/>
      <rgbColor rgb="FF0D2D5E"/>
      <rgbColor rgb="FF27AE60"/>
      <rgbColor rgb="FF2E4057"/>
      <rgbColor rgb="FF222222"/>
      <rgbColor rgb="FF833C00"/>
      <rgbColor rgb="FF7030A0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35"/>
    <col collapsed="false" customWidth="true" hidden="false" outlineLevel="0" max="4" min="3" style="1" width="20"/>
    <col collapsed="false" customWidth="true" hidden="false" outlineLevel="0" max="5" min="5" style="1" width="3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</row>
    <row r="6" customFormat="false" ht="15" hidden="false" customHeight="true" outlineLevel="0" collapsed="false">
      <c r="A6" s="5" t="s">
        <v>5</v>
      </c>
      <c r="B6" s="6" t="s">
        <v>6</v>
      </c>
      <c r="C6" s="6"/>
      <c r="D6" s="6"/>
      <c r="E6" s="6"/>
    </row>
    <row r="7" customFormat="false" ht="15" hidden="false" customHeight="true" outlineLevel="0" collapsed="false">
      <c r="A7" s="5" t="s">
        <v>7</v>
      </c>
      <c r="B7" s="6" t="s">
        <v>8</v>
      </c>
      <c r="C7" s="6"/>
      <c r="D7" s="6"/>
      <c r="E7" s="6"/>
    </row>
    <row r="8" customFormat="false" ht="15" hidden="false" customHeight="true" outlineLevel="0" collapsed="false">
      <c r="A8" s="5" t="s">
        <v>9</v>
      </c>
      <c r="B8" s="6" t="s">
        <v>10</v>
      </c>
      <c r="C8" s="6"/>
      <c r="D8" s="6"/>
      <c r="E8" s="6"/>
    </row>
    <row r="9" customFormat="false" ht="15" hidden="false" customHeight="true" outlineLevel="0" collapsed="false">
      <c r="A9" s="5" t="s">
        <v>11</v>
      </c>
      <c r="B9" s="6" t="s">
        <v>12</v>
      </c>
      <c r="C9" s="6"/>
      <c r="D9" s="6"/>
      <c r="E9" s="6"/>
    </row>
    <row r="11" customFormat="false" ht="24" hidden="false" customHeight="true" outlineLevel="0" collapsed="false">
      <c r="A11" s="4" t="s">
        <v>13</v>
      </c>
      <c r="B11" s="4"/>
      <c r="C11" s="4"/>
      <c r="D11" s="4"/>
      <c r="E11" s="4"/>
    </row>
    <row r="12" customFormat="false" ht="15" hidden="false" customHeight="true" outlineLevel="0" collapsed="false">
      <c r="A12" s="7" t="s">
        <v>9</v>
      </c>
      <c r="B12" s="7" t="s">
        <v>14</v>
      </c>
      <c r="C12" s="7" t="s">
        <v>15</v>
      </c>
      <c r="D12" s="7"/>
      <c r="E12" s="7"/>
    </row>
    <row r="13" customFormat="false" ht="15" hidden="false" customHeight="true" outlineLevel="0" collapsed="false">
      <c r="A13" s="8" t="s">
        <v>16</v>
      </c>
      <c r="B13" s="8" t="s">
        <v>17</v>
      </c>
      <c r="C13" s="8" t="s">
        <v>18</v>
      </c>
    </row>
    <row r="14" customFormat="false" ht="15" hidden="false" customHeight="true" outlineLevel="0" collapsed="false">
      <c r="A14" s="8" t="s">
        <v>19</v>
      </c>
      <c r="B14" s="8" t="s">
        <v>20</v>
      </c>
      <c r="C14" s="8" t="s">
        <v>21</v>
      </c>
    </row>
    <row r="15" customFormat="false" ht="15" hidden="false" customHeight="true" outlineLevel="0" collapsed="false">
      <c r="A15" s="8" t="s">
        <v>22</v>
      </c>
      <c r="B15" s="8" t="s">
        <v>23</v>
      </c>
      <c r="C15" s="8" t="s">
        <v>24</v>
      </c>
    </row>
    <row r="16" customFormat="false" ht="15" hidden="false" customHeight="true" outlineLevel="0" collapsed="false">
      <c r="A16" s="8" t="s">
        <v>25</v>
      </c>
      <c r="B16" s="8" t="s">
        <v>26</v>
      </c>
      <c r="C16" s="8" t="s">
        <v>27</v>
      </c>
    </row>
    <row r="17" customFormat="false" ht="15" hidden="false" customHeight="true" outlineLevel="0" collapsed="false">
      <c r="A17" s="8" t="s">
        <v>28</v>
      </c>
      <c r="B17" s="8" t="s">
        <v>29</v>
      </c>
      <c r="C17" s="8" t="s">
        <v>30</v>
      </c>
    </row>
    <row r="18" customFormat="false" ht="15" hidden="false" customHeight="true" outlineLevel="0" collapsed="false">
      <c r="A18" s="8" t="s">
        <v>31</v>
      </c>
      <c r="B18" s="8" t="s">
        <v>32</v>
      </c>
      <c r="C18" s="8" t="s">
        <v>33</v>
      </c>
    </row>
    <row r="19" customFormat="false" ht="15" hidden="false" customHeight="true" outlineLevel="0" collapsed="false">
      <c r="A19" s="8" t="s">
        <v>34</v>
      </c>
      <c r="B19" s="8" t="s">
        <v>35</v>
      </c>
      <c r="C19" s="8" t="s">
        <v>36</v>
      </c>
    </row>
    <row r="20" customFormat="false" ht="15" hidden="false" customHeight="true" outlineLevel="0" collapsed="false">
      <c r="A20" s="8" t="s">
        <v>37</v>
      </c>
      <c r="B20" s="8" t="s">
        <v>38</v>
      </c>
      <c r="C20" s="8" t="s">
        <v>39</v>
      </c>
    </row>
    <row r="21" customFormat="false" ht="15" hidden="false" customHeight="true" outlineLevel="0" collapsed="false">
      <c r="A21" s="5" t="s">
        <v>40</v>
      </c>
      <c r="B21" s="8" t="s">
        <v>41</v>
      </c>
      <c r="C21" s="8" t="s">
        <v>42</v>
      </c>
    </row>
    <row r="23" customFormat="false" ht="24" hidden="false" customHeight="true" outlineLevel="0" collapsed="false">
      <c r="A23" s="4" t="s">
        <v>43</v>
      </c>
      <c r="B23" s="4"/>
      <c r="C23" s="4"/>
      <c r="D23" s="4"/>
      <c r="E23" s="4"/>
    </row>
    <row r="24" customFormat="false" ht="15" hidden="false" customHeight="true" outlineLevel="0" collapsed="false">
      <c r="A24" s="7" t="s">
        <v>44</v>
      </c>
      <c r="B24" s="7" t="s">
        <v>3</v>
      </c>
      <c r="C24" s="7" t="s">
        <v>45</v>
      </c>
      <c r="D24" s="7"/>
      <c r="E24" s="7"/>
    </row>
    <row r="25" customFormat="false" ht="23.25" hidden="false" customHeight="true" outlineLevel="0" collapsed="false">
      <c r="A25" s="9" t="s">
        <v>46</v>
      </c>
      <c r="B25" s="10" t="s">
        <v>47</v>
      </c>
      <c r="C25" s="9" t="s">
        <v>48</v>
      </c>
    </row>
    <row r="26" customFormat="false" ht="23.25" hidden="false" customHeight="true" outlineLevel="0" collapsed="false">
      <c r="A26" s="11" t="s">
        <v>49</v>
      </c>
      <c r="B26" s="12" t="s">
        <v>50</v>
      </c>
      <c r="C26" s="13" t="s">
        <v>51</v>
      </c>
    </row>
    <row r="27" customFormat="false" ht="23.25" hidden="false" customHeight="true" outlineLevel="0" collapsed="false">
      <c r="A27" s="9" t="s">
        <v>52</v>
      </c>
      <c r="B27" s="10" t="s">
        <v>53</v>
      </c>
      <c r="C27" s="9" t="s">
        <v>54</v>
      </c>
    </row>
    <row r="28" customFormat="false" ht="23.25" hidden="false" customHeight="true" outlineLevel="0" collapsed="false">
      <c r="A28" s="9" t="s">
        <v>55</v>
      </c>
      <c r="B28" s="10" t="s">
        <v>56</v>
      </c>
      <c r="C28" s="9" t="s">
        <v>54</v>
      </c>
    </row>
    <row r="29" customFormat="false" ht="23.25" hidden="false" customHeight="true" outlineLevel="0" collapsed="false">
      <c r="A29" s="9" t="s">
        <v>57</v>
      </c>
      <c r="B29" s="10" t="s">
        <v>58</v>
      </c>
      <c r="C29" s="9" t="s">
        <v>54</v>
      </c>
    </row>
    <row r="30" customFormat="false" ht="23.25" hidden="false" customHeight="true" outlineLevel="0" collapsed="false">
      <c r="A30" s="9" t="s">
        <v>59</v>
      </c>
      <c r="B30" s="10" t="s">
        <v>60</v>
      </c>
      <c r="C30" s="9" t="s">
        <v>54</v>
      </c>
    </row>
    <row r="31" customFormat="false" ht="23.25" hidden="false" customHeight="true" outlineLevel="0" collapsed="false">
      <c r="A31" s="9" t="s">
        <v>61</v>
      </c>
      <c r="B31" s="10" t="s">
        <v>62</v>
      </c>
      <c r="C31" s="9" t="s">
        <v>54</v>
      </c>
    </row>
    <row r="32" customFormat="false" ht="23.25" hidden="false" customHeight="true" outlineLevel="0" collapsed="false">
      <c r="A32" s="9" t="s">
        <v>63</v>
      </c>
      <c r="B32" s="10" t="s">
        <v>64</v>
      </c>
      <c r="C32" s="9" t="s">
        <v>54</v>
      </c>
    </row>
    <row r="33" customFormat="false" ht="23.25" hidden="false" customHeight="true" outlineLevel="0" collapsed="false">
      <c r="A33" s="9" t="s">
        <v>65</v>
      </c>
      <c r="B33" s="10" t="s">
        <v>66</v>
      </c>
      <c r="C33" s="9" t="s">
        <v>67</v>
      </c>
    </row>
    <row r="34" customFormat="false" ht="23.25" hidden="false" customHeight="true" outlineLevel="0" collapsed="false">
      <c r="A34" s="9" t="s">
        <v>68</v>
      </c>
      <c r="B34" s="10" t="s">
        <v>69</v>
      </c>
      <c r="C34" s="9" t="s">
        <v>70</v>
      </c>
    </row>
    <row r="35" customFormat="false" ht="23.25" hidden="false" customHeight="true" outlineLevel="0" collapsed="false">
      <c r="A35" s="9" t="s">
        <v>71</v>
      </c>
      <c r="B35" s="10" t="s">
        <v>72</v>
      </c>
      <c r="C35" s="9" t="s">
        <v>67</v>
      </c>
    </row>
    <row r="36" customFormat="false" ht="23.25" hidden="false" customHeight="true" outlineLevel="0" collapsed="false">
      <c r="A36" s="9" t="s">
        <v>73</v>
      </c>
      <c r="B36" s="10" t="s">
        <v>74</v>
      </c>
      <c r="C36" s="9" t="s">
        <v>67</v>
      </c>
    </row>
    <row r="37" customFormat="false" ht="23.25" hidden="false" customHeight="true" outlineLevel="0" collapsed="false">
      <c r="A37" s="9" t="s">
        <v>75</v>
      </c>
      <c r="B37" s="10" t="s">
        <v>76</v>
      </c>
      <c r="C37" s="9" t="s">
        <v>67</v>
      </c>
    </row>
    <row r="38" customFormat="false" ht="23.25" hidden="false" customHeight="true" outlineLevel="0" collapsed="false">
      <c r="A38" s="9" t="s">
        <v>77</v>
      </c>
      <c r="B38" s="10" t="s">
        <v>78</v>
      </c>
      <c r="C38" s="9" t="s">
        <v>67</v>
      </c>
    </row>
    <row r="39" customFormat="false" ht="15" hidden="false" customHeight="true" outlineLevel="0" collapsed="false">
      <c r="A39" s="9" t="s">
        <v>79</v>
      </c>
      <c r="B39" s="10" t="s">
        <v>80</v>
      </c>
      <c r="C39" s="9" t="s">
        <v>70</v>
      </c>
    </row>
    <row r="41" customFormat="false" ht="15" hidden="false" customHeight="true" outlineLevel="0" collapsed="false">
      <c r="A41" s="14" t="s">
        <v>81</v>
      </c>
      <c r="B41" s="14"/>
      <c r="C41" s="14"/>
      <c r="D41" s="14"/>
      <c r="E41" s="14"/>
    </row>
    <row r="42" customFormat="false" ht="15" hidden="false" customHeight="true" outlineLevel="0" collapsed="false">
      <c r="A42" s="15" t="s">
        <v>82</v>
      </c>
      <c r="B42" s="9" t="s">
        <v>83</v>
      </c>
    </row>
    <row r="43" customFormat="false" ht="15" hidden="false" customHeight="true" outlineLevel="0" collapsed="false">
      <c r="A43" s="16" t="s">
        <v>84</v>
      </c>
      <c r="B43" s="9" t="s">
        <v>85</v>
      </c>
    </row>
    <row r="44" customFormat="false" ht="15" hidden="false" customHeight="true" outlineLevel="0" collapsed="false">
      <c r="A44" s="17" t="s">
        <v>86</v>
      </c>
      <c r="B44" s="9" t="s">
        <v>87</v>
      </c>
    </row>
    <row r="45" customFormat="false" ht="15" hidden="false" customHeight="true" outlineLevel="0" collapsed="false">
      <c r="A45" s="16" t="s">
        <v>88</v>
      </c>
      <c r="B45" s="9" t="s">
        <v>89</v>
      </c>
    </row>
    <row r="46" customFormat="false" ht="15" hidden="false" customHeight="true" outlineLevel="0" collapsed="false">
      <c r="A46" s="16" t="s">
        <v>90</v>
      </c>
      <c r="B46" s="9" t="s">
        <v>91</v>
      </c>
    </row>
    <row r="48" customFormat="false" ht="15" hidden="false" customHeight="true" outlineLevel="0" collapsed="false">
      <c r="A48" s="18" t="s">
        <v>92</v>
      </c>
      <c r="B48" s="19" t="s">
        <v>93</v>
      </c>
      <c r="C48" s="19"/>
      <c r="D48" s="19"/>
      <c r="E48" s="19"/>
    </row>
    <row r="50" customFormat="false" ht="24" hidden="false" customHeight="true" outlineLevel="0" collapsed="false">
      <c r="A50" s="4" t="s">
        <v>94</v>
      </c>
      <c r="B50" s="4"/>
      <c r="C50" s="4"/>
      <c r="D50" s="4"/>
      <c r="E50" s="4"/>
    </row>
    <row r="51" customFormat="false" ht="15" hidden="false" customHeight="true" outlineLevel="0" collapsed="false">
      <c r="A51" s="14" t="s">
        <v>95</v>
      </c>
      <c r="B51" s="14"/>
      <c r="C51" s="14"/>
      <c r="D51" s="14"/>
      <c r="E51" s="14"/>
    </row>
    <row r="52" customFormat="false" ht="15" hidden="false" customHeight="true" outlineLevel="0" collapsed="false">
      <c r="A52" s="7" t="s">
        <v>96</v>
      </c>
      <c r="B52" s="7" t="s">
        <v>97</v>
      </c>
      <c r="C52" s="7" t="s">
        <v>98</v>
      </c>
      <c r="D52" s="7"/>
      <c r="E52" s="7"/>
    </row>
    <row r="53" customFormat="false" ht="15" hidden="false" customHeight="true" outlineLevel="0" collapsed="false">
      <c r="A53" s="8" t="s">
        <v>99</v>
      </c>
      <c r="B53" s="8" t="s">
        <v>100</v>
      </c>
      <c r="C53" s="8" t="s">
        <v>101</v>
      </c>
    </row>
    <row r="54" customFormat="false" ht="15" hidden="false" customHeight="true" outlineLevel="0" collapsed="false">
      <c r="A54" s="8" t="s">
        <v>102</v>
      </c>
      <c r="B54" s="8" t="s">
        <v>103</v>
      </c>
      <c r="C54" s="8" t="s">
        <v>104</v>
      </c>
    </row>
    <row r="55" customFormat="false" ht="15" hidden="false" customHeight="true" outlineLevel="0" collapsed="false">
      <c r="A55" s="8" t="s">
        <v>105</v>
      </c>
      <c r="B55" s="8" t="s">
        <v>106</v>
      </c>
      <c r="C55" s="8" t="s">
        <v>107</v>
      </c>
    </row>
    <row r="56" customFormat="false" ht="15" hidden="false" customHeight="true" outlineLevel="0" collapsed="false">
      <c r="A56" s="8" t="s">
        <v>108</v>
      </c>
      <c r="B56" s="8" t="s">
        <v>109</v>
      </c>
      <c r="C56" s="8" t="s">
        <v>110</v>
      </c>
    </row>
    <row r="57" customFormat="false" ht="15" hidden="false" customHeight="true" outlineLevel="0" collapsed="false">
      <c r="A57" s="8" t="s">
        <v>111</v>
      </c>
      <c r="B57" s="8" t="s">
        <v>112</v>
      </c>
      <c r="C57" s="8" t="s">
        <v>113</v>
      </c>
    </row>
    <row r="58" customFormat="false" ht="15" hidden="false" customHeight="true" outlineLevel="0" collapsed="false">
      <c r="A58" s="8" t="s">
        <v>114</v>
      </c>
      <c r="B58" s="8" t="s">
        <v>115</v>
      </c>
      <c r="C58" s="8" t="s">
        <v>116</v>
      </c>
    </row>
    <row r="59" customFormat="false" ht="15" hidden="false" customHeight="true" outlineLevel="0" collapsed="false">
      <c r="A59" s="8" t="s">
        <v>117</v>
      </c>
      <c r="B59" s="8" t="s">
        <v>118</v>
      </c>
      <c r="C59" s="8" t="s">
        <v>107</v>
      </c>
    </row>
    <row r="61" customFormat="false" ht="15" hidden="false" customHeight="true" outlineLevel="0" collapsed="false">
      <c r="A61" s="14" t="s">
        <v>119</v>
      </c>
      <c r="B61" s="14"/>
      <c r="C61" s="14"/>
      <c r="D61" s="14"/>
      <c r="E61" s="14"/>
    </row>
    <row r="62" customFormat="false" ht="15" hidden="false" customHeight="true" outlineLevel="0" collapsed="false">
      <c r="A62" s="7" t="s">
        <v>120</v>
      </c>
      <c r="B62" s="7" t="s">
        <v>121</v>
      </c>
      <c r="C62" s="7" t="s">
        <v>122</v>
      </c>
      <c r="D62" s="7"/>
      <c r="E62" s="7"/>
    </row>
    <row r="63" customFormat="false" ht="15" hidden="false" customHeight="true" outlineLevel="0" collapsed="false">
      <c r="A63" s="8" t="s">
        <v>123</v>
      </c>
      <c r="B63" s="8" t="s">
        <v>124</v>
      </c>
      <c r="C63" s="8" t="s">
        <v>125</v>
      </c>
    </row>
    <row r="64" customFormat="false" ht="15" hidden="false" customHeight="true" outlineLevel="0" collapsed="false">
      <c r="A64" s="8" t="s">
        <v>126</v>
      </c>
      <c r="B64" s="8" t="s">
        <v>127</v>
      </c>
      <c r="C64" s="8" t="s">
        <v>128</v>
      </c>
    </row>
    <row r="65" customFormat="false" ht="15" hidden="false" customHeight="true" outlineLevel="0" collapsed="false">
      <c r="A65" s="8" t="s">
        <v>129</v>
      </c>
      <c r="B65" s="8" t="s">
        <v>130</v>
      </c>
      <c r="C65" s="8" t="s">
        <v>131</v>
      </c>
    </row>
    <row r="66" customFormat="false" ht="15" hidden="false" customHeight="true" outlineLevel="0" collapsed="false">
      <c r="A66" s="8" t="s">
        <v>132</v>
      </c>
      <c r="B66" s="8" t="s">
        <v>133</v>
      </c>
      <c r="C66" s="8" t="s">
        <v>134</v>
      </c>
    </row>
    <row r="67" customFormat="false" ht="15" hidden="false" customHeight="true" outlineLevel="0" collapsed="false">
      <c r="A67" s="8" t="s">
        <v>135</v>
      </c>
      <c r="B67" s="8" t="s">
        <v>136</v>
      </c>
      <c r="C67" s="8" t="s">
        <v>137</v>
      </c>
    </row>
    <row r="68" customFormat="false" ht="15" hidden="false" customHeight="true" outlineLevel="0" collapsed="false">
      <c r="A68" s="8" t="s">
        <v>138</v>
      </c>
      <c r="B68" s="8" t="s">
        <v>139</v>
      </c>
      <c r="C68" s="8" t="s">
        <v>140</v>
      </c>
    </row>
    <row r="69" customFormat="false" ht="15" hidden="false" customHeight="true" outlineLevel="0" collapsed="false">
      <c r="A69" s="8" t="s">
        <v>141</v>
      </c>
      <c r="B69" s="8" t="s">
        <v>142</v>
      </c>
      <c r="C69" s="8" t="s">
        <v>143</v>
      </c>
    </row>
    <row r="70" customFormat="false" ht="15" hidden="false" customHeight="true" outlineLevel="0" collapsed="false">
      <c r="A70" s="8" t="s">
        <v>144</v>
      </c>
      <c r="B70" s="8" t="s">
        <v>145</v>
      </c>
      <c r="C70" s="8" t="s">
        <v>146</v>
      </c>
    </row>
    <row r="71" customFormat="false" ht="15" hidden="false" customHeight="true" outlineLevel="0" collapsed="false">
      <c r="A71" s="8" t="s">
        <v>147</v>
      </c>
      <c r="B71" s="8" t="s">
        <v>148</v>
      </c>
      <c r="C71" s="8" t="s">
        <v>149</v>
      </c>
    </row>
    <row r="72" customFormat="false" ht="15" hidden="false" customHeight="true" outlineLevel="0" collapsed="false">
      <c r="A72" s="8" t="s">
        <v>150</v>
      </c>
      <c r="B72" s="8" t="s">
        <v>151</v>
      </c>
      <c r="C72" s="8" t="s">
        <v>152</v>
      </c>
    </row>
    <row r="73" customFormat="false" ht="15" hidden="false" customHeight="true" outlineLevel="0" collapsed="false">
      <c r="A73" s="8" t="s">
        <v>153</v>
      </c>
      <c r="B73" s="8" t="s">
        <v>154</v>
      </c>
      <c r="C73" s="8" t="s">
        <v>155</v>
      </c>
    </row>
    <row r="74" customFormat="false" ht="15" hidden="false" customHeight="true" outlineLevel="0" collapsed="false">
      <c r="A74" s="8" t="s">
        <v>156</v>
      </c>
      <c r="B74" s="8" t="s">
        <v>157</v>
      </c>
      <c r="C74" s="8" t="s">
        <v>158</v>
      </c>
    </row>
    <row r="76" customFormat="false" ht="15" hidden="false" customHeight="true" outlineLevel="0" collapsed="false">
      <c r="A76" s="14" t="s">
        <v>159</v>
      </c>
      <c r="B76" s="14"/>
      <c r="C76" s="14"/>
      <c r="D76" s="14"/>
      <c r="E76" s="14"/>
    </row>
    <row r="77" customFormat="false" ht="15" hidden="false" customHeight="true" outlineLevel="0" collapsed="false">
      <c r="A77" s="5" t="s">
        <v>160</v>
      </c>
      <c r="B77" s="6" t="s">
        <v>161</v>
      </c>
      <c r="C77" s="6"/>
      <c r="D77" s="6"/>
      <c r="E77" s="6"/>
    </row>
    <row r="78" customFormat="false" ht="15" hidden="false" customHeight="true" outlineLevel="0" collapsed="false">
      <c r="A78" s="5" t="s">
        <v>162</v>
      </c>
      <c r="B78" s="6" t="s">
        <v>163</v>
      </c>
      <c r="C78" s="6"/>
      <c r="D78" s="6"/>
      <c r="E78" s="6"/>
    </row>
    <row r="80" customFormat="false" ht="24" hidden="false" customHeight="true" outlineLevel="0" collapsed="false">
      <c r="A80" s="4" t="s">
        <v>164</v>
      </c>
      <c r="B80" s="4"/>
      <c r="C80" s="4"/>
      <c r="D80" s="4"/>
      <c r="E80" s="4"/>
    </row>
    <row r="81" customFormat="false" ht="15" hidden="false" customHeight="true" outlineLevel="0" collapsed="false">
      <c r="A81" s="14" t="s">
        <v>165</v>
      </c>
      <c r="B81" s="14"/>
      <c r="C81" s="14"/>
      <c r="D81" s="14"/>
      <c r="E81" s="14"/>
    </row>
    <row r="82" customFormat="false" ht="15" hidden="false" customHeight="true" outlineLevel="0" collapsed="false">
      <c r="A82" s="5" t="s">
        <v>166</v>
      </c>
      <c r="B82" s="6" t="s">
        <v>167</v>
      </c>
      <c r="C82" s="6"/>
      <c r="D82" s="6"/>
      <c r="E82" s="6"/>
    </row>
    <row r="83" customFormat="false" ht="15" hidden="false" customHeight="true" outlineLevel="0" collapsed="false">
      <c r="A83" s="5" t="s">
        <v>168</v>
      </c>
      <c r="B83" s="6" t="s">
        <v>169</v>
      </c>
      <c r="C83" s="6"/>
      <c r="D83" s="6"/>
      <c r="E83" s="6"/>
    </row>
    <row r="85" customFormat="false" ht="15" hidden="false" customHeight="true" outlineLevel="0" collapsed="false">
      <c r="A85" s="7" t="s">
        <v>170</v>
      </c>
      <c r="B85" s="7" t="s">
        <v>171</v>
      </c>
      <c r="C85" s="7" t="s">
        <v>172</v>
      </c>
      <c r="D85" s="7" t="s">
        <v>173</v>
      </c>
      <c r="E85" s="7"/>
    </row>
    <row r="86" customFormat="false" ht="15" hidden="false" customHeight="true" outlineLevel="0" collapsed="false">
      <c r="A86" s="8" t="s">
        <v>174</v>
      </c>
      <c r="B86" s="8" t="s">
        <v>175</v>
      </c>
      <c r="C86" s="8" t="s">
        <v>176</v>
      </c>
      <c r="D86" s="8" t="s">
        <v>177</v>
      </c>
    </row>
    <row r="87" customFormat="false" ht="15" hidden="false" customHeight="true" outlineLevel="0" collapsed="false">
      <c r="A87" s="8" t="s">
        <v>178</v>
      </c>
      <c r="B87" s="8" t="s">
        <v>179</v>
      </c>
      <c r="C87" s="8" t="s">
        <v>136</v>
      </c>
      <c r="D87" s="8" t="s">
        <v>177</v>
      </c>
    </row>
    <row r="88" customFormat="false" ht="15" hidden="false" customHeight="true" outlineLevel="0" collapsed="false">
      <c r="A88" s="8" t="s">
        <v>180</v>
      </c>
      <c r="B88" s="8" t="s">
        <v>181</v>
      </c>
      <c r="C88" s="8" t="s">
        <v>182</v>
      </c>
      <c r="D88" s="8" t="s">
        <v>183</v>
      </c>
    </row>
    <row r="89" customFormat="false" ht="15" hidden="false" customHeight="true" outlineLevel="0" collapsed="false">
      <c r="A89" s="8" t="s">
        <v>184</v>
      </c>
      <c r="B89" s="8" t="s">
        <v>185</v>
      </c>
      <c r="C89" s="8" t="s">
        <v>182</v>
      </c>
      <c r="D89" s="8" t="s">
        <v>183</v>
      </c>
    </row>
    <row r="91" customFormat="false" ht="15" hidden="false" customHeight="true" outlineLevel="0" collapsed="false">
      <c r="A91" s="14" t="s">
        <v>186</v>
      </c>
      <c r="B91" s="14"/>
      <c r="C91" s="14"/>
      <c r="D91" s="14"/>
      <c r="E91" s="14"/>
    </row>
    <row r="92" customFormat="false" ht="15" hidden="false" customHeight="true" outlineLevel="0" collapsed="false">
      <c r="A92" s="5" t="s">
        <v>187</v>
      </c>
      <c r="B92" s="6" t="s">
        <v>188</v>
      </c>
      <c r="C92" s="6"/>
      <c r="D92" s="6"/>
      <c r="E92" s="6"/>
    </row>
    <row r="93" customFormat="false" ht="15" hidden="false" customHeight="true" outlineLevel="0" collapsed="false">
      <c r="A93" s="5" t="s">
        <v>189</v>
      </c>
      <c r="B93" s="6" t="s">
        <v>190</v>
      </c>
      <c r="C93" s="6"/>
      <c r="D93" s="6"/>
      <c r="E93" s="6"/>
    </row>
    <row r="95" customFormat="false" ht="15" hidden="false" customHeight="true" outlineLevel="0" collapsed="false">
      <c r="A95" s="14" t="s">
        <v>191</v>
      </c>
      <c r="B95" s="14"/>
      <c r="C95" s="14"/>
      <c r="D95" s="14"/>
      <c r="E95" s="14"/>
    </row>
    <row r="96" customFormat="false" ht="15" hidden="false" customHeight="true" outlineLevel="0" collapsed="false">
      <c r="A96" s="7" t="s">
        <v>192</v>
      </c>
      <c r="B96" s="7" t="s">
        <v>193</v>
      </c>
      <c r="C96" s="7" t="s">
        <v>194</v>
      </c>
      <c r="D96" s="7"/>
      <c r="E96" s="7"/>
    </row>
    <row r="97" customFormat="false" ht="15" hidden="false" customHeight="true" outlineLevel="0" collapsed="false">
      <c r="A97" s="8" t="s">
        <v>195</v>
      </c>
      <c r="B97" s="8" t="s">
        <v>196</v>
      </c>
      <c r="C97" s="8" t="s">
        <v>197</v>
      </c>
    </row>
    <row r="98" customFormat="false" ht="15" hidden="false" customHeight="true" outlineLevel="0" collapsed="false">
      <c r="A98" s="8" t="s">
        <v>198</v>
      </c>
      <c r="B98" s="8" t="s">
        <v>199</v>
      </c>
      <c r="C98" s="8" t="s">
        <v>200</v>
      </c>
    </row>
    <row r="99" customFormat="false" ht="15" hidden="false" customHeight="true" outlineLevel="0" collapsed="false">
      <c r="A99" s="8" t="s">
        <v>201</v>
      </c>
      <c r="B99" s="8" t="s">
        <v>202</v>
      </c>
      <c r="C99" s="8" t="s">
        <v>203</v>
      </c>
    </row>
    <row r="101" customFormat="false" ht="15" hidden="false" customHeight="true" outlineLevel="0" collapsed="false">
      <c r="A101" s="14" t="s">
        <v>204</v>
      </c>
      <c r="B101" s="14"/>
      <c r="C101" s="14"/>
      <c r="D101" s="14"/>
      <c r="E101" s="14"/>
    </row>
    <row r="102" customFormat="false" ht="15" hidden="false" customHeight="true" outlineLevel="0" collapsed="false">
      <c r="A102" s="5" t="s">
        <v>205</v>
      </c>
      <c r="B102" s="6" t="s">
        <v>206</v>
      </c>
      <c r="C102" s="6"/>
      <c r="D102" s="6"/>
      <c r="E102" s="6"/>
    </row>
    <row r="103" customFormat="false" ht="15" hidden="false" customHeight="true" outlineLevel="0" collapsed="false">
      <c r="A103" s="5" t="s">
        <v>207</v>
      </c>
      <c r="B103" s="6" t="s">
        <v>208</v>
      </c>
      <c r="C103" s="6"/>
      <c r="D103" s="6"/>
      <c r="E103" s="6"/>
    </row>
    <row r="104" customFormat="false" ht="15" hidden="false" customHeight="true" outlineLevel="0" collapsed="false">
      <c r="A104" s="5" t="s">
        <v>209</v>
      </c>
      <c r="B104" s="6" t="s">
        <v>210</v>
      </c>
      <c r="C104" s="6"/>
      <c r="D104" s="6"/>
      <c r="E104" s="6"/>
    </row>
    <row r="106" customFormat="false" ht="15" hidden="false" customHeight="true" outlineLevel="0" collapsed="false">
      <c r="A106" s="14" t="s">
        <v>211</v>
      </c>
      <c r="B106" s="14"/>
      <c r="C106" s="14"/>
      <c r="D106" s="14"/>
      <c r="E106" s="14"/>
    </row>
    <row r="107" customFormat="false" ht="15" hidden="false" customHeight="true" outlineLevel="0" collapsed="false">
      <c r="A107" s="5" t="s">
        <v>212</v>
      </c>
      <c r="B107" s="6" t="s">
        <v>213</v>
      </c>
      <c r="C107" s="6"/>
      <c r="D107" s="6"/>
      <c r="E107" s="6"/>
    </row>
    <row r="108" customFormat="false" ht="15" hidden="false" customHeight="true" outlineLevel="0" collapsed="false">
      <c r="A108" s="5" t="s">
        <v>214</v>
      </c>
      <c r="B108" s="6" t="s">
        <v>215</v>
      </c>
      <c r="C108" s="6"/>
      <c r="D108" s="6"/>
      <c r="E108" s="6"/>
    </row>
    <row r="110" customFormat="false" ht="24" hidden="false" customHeight="true" outlineLevel="0" collapsed="false">
      <c r="A110" s="4" t="s">
        <v>216</v>
      </c>
      <c r="B110" s="4"/>
      <c r="C110" s="4"/>
      <c r="D110" s="4"/>
      <c r="E110" s="4"/>
    </row>
    <row r="111" customFormat="false" ht="15" hidden="false" customHeight="true" outlineLevel="0" collapsed="false">
      <c r="A111" s="5" t="s">
        <v>217</v>
      </c>
      <c r="B111" s="6" t="s">
        <v>218</v>
      </c>
      <c r="C111" s="6"/>
      <c r="D111" s="6"/>
      <c r="E111" s="6"/>
    </row>
    <row r="112" customFormat="false" ht="15" hidden="false" customHeight="true" outlineLevel="0" collapsed="false">
      <c r="A112" s="5" t="s">
        <v>219</v>
      </c>
      <c r="B112" s="6" t="s">
        <v>220</v>
      </c>
      <c r="C112" s="6"/>
      <c r="D112" s="6"/>
      <c r="E112" s="6"/>
    </row>
    <row r="114" customFormat="false" ht="15" hidden="false" customHeight="true" outlineLevel="0" collapsed="false">
      <c r="A114" s="7" t="s">
        <v>221</v>
      </c>
      <c r="B114" s="7" t="s">
        <v>222</v>
      </c>
      <c r="C114" s="7" t="s">
        <v>223</v>
      </c>
      <c r="D114" s="7"/>
      <c r="E114" s="7"/>
    </row>
    <row r="115" customFormat="false" ht="15" hidden="false" customHeight="true" outlineLevel="0" collapsed="false">
      <c r="A115" s="8" t="s">
        <v>224</v>
      </c>
      <c r="B115" s="8" t="s">
        <v>225</v>
      </c>
      <c r="C115" s="8" t="s">
        <v>226</v>
      </c>
    </row>
    <row r="116" customFormat="false" ht="15" hidden="false" customHeight="true" outlineLevel="0" collapsed="false">
      <c r="A116" s="8" t="s">
        <v>227</v>
      </c>
      <c r="B116" s="8" t="s">
        <v>228</v>
      </c>
      <c r="C116" s="8" t="s">
        <v>229</v>
      </c>
    </row>
    <row r="117" customFormat="false" ht="15" hidden="false" customHeight="true" outlineLevel="0" collapsed="false">
      <c r="A117" s="8" t="s">
        <v>230</v>
      </c>
      <c r="B117" s="8" t="s">
        <v>231</v>
      </c>
      <c r="C117" s="8" t="s">
        <v>232</v>
      </c>
    </row>
    <row r="118" customFormat="false" ht="15" hidden="false" customHeight="true" outlineLevel="0" collapsed="false">
      <c r="A118" s="8" t="s">
        <v>233</v>
      </c>
      <c r="B118" s="8" t="s">
        <v>234</v>
      </c>
      <c r="C118" s="8" t="s">
        <v>235</v>
      </c>
    </row>
    <row r="119" customFormat="false" ht="15" hidden="false" customHeight="true" outlineLevel="0" collapsed="false">
      <c r="A119" s="8" t="s">
        <v>236</v>
      </c>
      <c r="B119" s="8" t="s">
        <v>237</v>
      </c>
      <c r="C119" s="8" t="s">
        <v>238</v>
      </c>
    </row>
    <row r="120" customFormat="false" ht="15" hidden="false" customHeight="true" outlineLevel="0" collapsed="false">
      <c r="A120" s="8" t="s">
        <v>239</v>
      </c>
      <c r="B120" s="8" t="s">
        <v>240</v>
      </c>
      <c r="C120" s="8" t="s">
        <v>241</v>
      </c>
    </row>
    <row r="122" customFormat="false" ht="24" hidden="false" customHeight="true" outlineLevel="0" collapsed="false">
      <c r="A122" s="4" t="s">
        <v>242</v>
      </c>
      <c r="B122" s="4"/>
      <c r="C122" s="4"/>
      <c r="D122" s="4"/>
      <c r="E122" s="4"/>
    </row>
    <row r="123" customFormat="false" ht="15" hidden="false" customHeight="true" outlineLevel="0" collapsed="false">
      <c r="A123" s="20" t="s">
        <v>243</v>
      </c>
      <c r="B123" s="20"/>
      <c r="C123" s="20"/>
      <c r="D123" s="20"/>
      <c r="E123" s="20"/>
    </row>
    <row r="124" customFormat="false" ht="15" hidden="false" customHeight="true" outlineLevel="0" collapsed="false">
      <c r="A124" s="5" t="s">
        <v>244</v>
      </c>
      <c r="B124" s="6" t="s">
        <v>245</v>
      </c>
      <c r="C124" s="6"/>
      <c r="D124" s="6"/>
      <c r="E124" s="6"/>
    </row>
    <row r="125" customFormat="false" ht="15" hidden="false" customHeight="true" outlineLevel="0" collapsed="false">
      <c r="A125" s="5" t="s">
        <v>246</v>
      </c>
      <c r="B125" s="6" t="s">
        <v>247</v>
      </c>
      <c r="C125" s="6"/>
      <c r="D125" s="6"/>
      <c r="E125" s="6"/>
    </row>
    <row r="126" customFormat="false" ht="15" hidden="false" customHeight="true" outlineLevel="0" collapsed="false">
      <c r="A126" s="5" t="s">
        <v>248</v>
      </c>
      <c r="B126" s="6" t="s">
        <v>249</v>
      </c>
      <c r="C126" s="6"/>
      <c r="D126" s="6"/>
      <c r="E126" s="6"/>
    </row>
    <row r="127" customFormat="false" ht="15" hidden="false" customHeight="true" outlineLevel="0" collapsed="false">
      <c r="A127" s="5" t="s">
        <v>250</v>
      </c>
      <c r="B127" s="6" t="s">
        <v>251</v>
      </c>
      <c r="C127" s="6"/>
      <c r="D127" s="6"/>
      <c r="E127" s="6"/>
    </row>
    <row r="128" customFormat="false" ht="15" hidden="false" customHeight="true" outlineLevel="0" collapsed="false">
      <c r="A128" s="5" t="s">
        <v>252</v>
      </c>
      <c r="B128" s="6" t="s">
        <v>253</v>
      </c>
      <c r="C128" s="6"/>
      <c r="D128" s="6"/>
      <c r="E128" s="6"/>
    </row>
    <row r="129" customFormat="false" ht="15" hidden="false" customHeight="true" outlineLevel="0" collapsed="false">
      <c r="A129" s="5" t="s">
        <v>254</v>
      </c>
      <c r="B129" s="6" t="s">
        <v>255</v>
      </c>
      <c r="C129" s="6"/>
      <c r="D129" s="6"/>
      <c r="E129" s="6"/>
    </row>
    <row r="130" customFormat="false" ht="15" hidden="false" customHeight="true" outlineLevel="0" collapsed="false">
      <c r="A130" s="5" t="s">
        <v>256</v>
      </c>
      <c r="B130" s="6" t="s">
        <v>257</v>
      </c>
      <c r="C130" s="6"/>
      <c r="D130" s="6"/>
      <c r="E130" s="6"/>
    </row>
    <row r="131" customFormat="false" ht="15" hidden="false" customHeight="true" outlineLevel="0" collapsed="false">
      <c r="A131" s="5" t="s">
        <v>258</v>
      </c>
      <c r="B131" s="6" t="s">
        <v>259</v>
      </c>
      <c r="C131" s="6"/>
      <c r="D131" s="6"/>
      <c r="E131" s="6"/>
    </row>
    <row r="132" customFormat="false" ht="15" hidden="false" customHeight="true" outlineLevel="0" collapsed="false">
      <c r="A132" s="5" t="s">
        <v>260</v>
      </c>
      <c r="B132" s="6" t="s">
        <v>261</v>
      </c>
      <c r="C132" s="6"/>
      <c r="D132" s="6"/>
      <c r="E132" s="6"/>
    </row>
    <row r="133" customFormat="false" ht="15" hidden="false" customHeight="true" outlineLevel="0" collapsed="false">
      <c r="A133" s="5" t="s">
        <v>262</v>
      </c>
      <c r="B133" s="6" t="s">
        <v>263</v>
      </c>
      <c r="C133" s="6"/>
      <c r="D133" s="6"/>
      <c r="E133" s="6"/>
    </row>
    <row r="135" customFormat="false" ht="24" hidden="false" customHeight="true" outlineLevel="0" collapsed="false">
      <c r="A135" s="4" t="s">
        <v>264</v>
      </c>
      <c r="B135" s="4"/>
      <c r="C135" s="4"/>
      <c r="D135" s="4"/>
      <c r="E135" s="4"/>
    </row>
    <row r="136" customFormat="false" ht="15" hidden="false" customHeight="true" outlineLevel="0" collapsed="false">
      <c r="A136" s="20" t="s">
        <v>265</v>
      </c>
      <c r="B136" s="20"/>
      <c r="C136" s="20"/>
      <c r="D136" s="20"/>
      <c r="E136" s="20"/>
    </row>
    <row r="138" customFormat="false" ht="15" hidden="false" customHeight="true" outlineLevel="0" collapsed="false">
      <c r="A138" s="5" t="s">
        <v>49</v>
      </c>
      <c r="B138" s="21" t="s">
        <v>266</v>
      </c>
      <c r="C138" s="9" t="s">
        <v>267</v>
      </c>
    </row>
    <row r="139" customFormat="false" ht="15" hidden="false" customHeight="true" outlineLevel="0" collapsed="false">
      <c r="A139" s="5" t="s">
        <v>268</v>
      </c>
      <c r="B139" s="21" t="s">
        <v>266</v>
      </c>
      <c r="C139" s="9" t="s">
        <v>269</v>
      </c>
    </row>
    <row r="140" customFormat="false" ht="15" hidden="false" customHeight="true" outlineLevel="0" collapsed="false">
      <c r="A140" s="5" t="s">
        <v>270</v>
      </c>
      <c r="B140" s="21" t="s">
        <v>266</v>
      </c>
      <c r="C140" s="9" t="s">
        <v>271</v>
      </c>
    </row>
    <row r="141" customFormat="false" ht="15" hidden="false" customHeight="true" outlineLevel="0" collapsed="false">
      <c r="A141" s="5" t="s">
        <v>272</v>
      </c>
      <c r="B141" s="21" t="s">
        <v>266</v>
      </c>
      <c r="C141" s="9" t="s">
        <v>273</v>
      </c>
    </row>
    <row r="142" customFormat="false" ht="15" hidden="false" customHeight="true" outlineLevel="0" collapsed="false">
      <c r="A142" s="5" t="s">
        <v>274</v>
      </c>
      <c r="B142" s="21" t="s">
        <v>266</v>
      </c>
      <c r="C142" s="9" t="s">
        <v>275</v>
      </c>
    </row>
    <row r="143" customFormat="false" ht="15" hidden="false" customHeight="true" outlineLevel="0" collapsed="false">
      <c r="A143" s="5" t="s">
        <v>276</v>
      </c>
      <c r="B143" s="21" t="s">
        <v>266</v>
      </c>
      <c r="C143" s="9" t="s">
        <v>277</v>
      </c>
    </row>
    <row r="144" customFormat="false" ht="15" hidden="false" customHeight="true" outlineLevel="0" collapsed="false">
      <c r="A144" s="5" t="s">
        <v>278</v>
      </c>
      <c r="B144" s="21" t="s">
        <v>266</v>
      </c>
      <c r="C144" s="9" t="s">
        <v>279</v>
      </c>
    </row>
    <row r="145" customFormat="false" ht="15" hidden="false" customHeight="true" outlineLevel="0" collapsed="false">
      <c r="A145" s="5" t="s">
        <v>280</v>
      </c>
      <c r="B145" s="21" t="s">
        <v>281</v>
      </c>
      <c r="C145" s="9" t="s">
        <v>282</v>
      </c>
    </row>
    <row r="147" customFormat="false" ht="23.25" hidden="false" customHeight="true" outlineLevel="0" collapsed="false">
      <c r="A147" s="5" t="s">
        <v>283</v>
      </c>
      <c r="B147" s="6" t="s">
        <v>284</v>
      </c>
      <c r="C147" s="6"/>
      <c r="D147" s="6"/>
      <c r="E147" s="6"/>
    </row>
    <row r="149" customFormat="false" ht="24" hidden="false" customHeight="true" outlineLevel="0" collapsed="false">
      <c r="A149" s="4" t="s">
        <v>285</v>
      </c>
      <c r="B149" s="4"/>
      <c r="C149" s="4"/>
      <c r="D149" s="4"/>
      <c r="E149" s="4"/>
    </row>
    <row r="150" customFormat="false" ht="15" hidden="false" customHeight="true" outlineLevel="0" collapsed="false">
      <c r="A150" s="7" t="s">
        <v>286</v>
      </c>
      <c r="B150" s="7" t="s">
        <v>3</v>
      </c>
      <c r="C150" s="7"/>
      <c r="D150" s="7"/>
      <c r="E150" s="7"/>
    </row>
    <row r="151" customFormat="false" ht="15" hidden="false" customHeight="true" outlineLevel="0" collapsed="false">
      <c r="A151" s="8" t="s">
        <v>287</v>
      </c>
      <c r="B151" s="8" t="s">
        <v>288</v>
      </c>
    </row>
    <row r="152" customFormat="false" ht="15" hidden="false" customHeight="true" outlineLevel="0" collapsed="false">
      <c r="A152" s="8" t="s">
        <v>289</v>
      </c>
      <c r="B152" s="8" t="s">
        <v>290</v>
      </c>
    </row>
    <row r="153" customFormat="false" ht="15" hidden="false" customHeight="true" outlineLevel="0" collapsed="false">
      <c r="A153" s="8" t="s">
        <v>291</v>
      </c>
      <c r="B153" s="8" t="s">
        <v>292</v>
      </c>
    </row>
    <row r="154" customFormat="false" ht="15" hidden="false" customHeight="true" outlineLevel="0" collapsed="false">
      <c r="A154" s="8" t="s">
        <v>293</v>
      </c>
      <c r="B154" s="8" t="s">
        <v>294</v>
      </c>
    </row>
    <row r="156" customFormat="false" ht="15" hidden="false" customHeight="true" outlineLevel="0" collapsed="false">
      <c r="A156" s="22" t="s">
        <v>295</v>
      </c>
      <c r="B156" s="22"/>
      <c r="C156" s="22"/>
      <c r="D156" s="22"/>
      <c r="E156" s="22"/>
    </row>
  </sheetData>
  <mergeCells count="53">
    <mergeCell ref="A1:E1"/>
    <mergeCell ref="A2:E2"/>
    <mergeCell ref="A4:E4"/>
    <mergeCell ref="B5:E5"/>
    <mergeCell ref="B6:E6"/>
    <mergeCell ref="B7:E7"/>
    <mergeCell ref="B8:E8"/>
    <mergeCell ref="B9:E9"/>
    <mergeCell ref="A11:E11"/>
    <mergeCell ref="A23:E23"/>
    <mergeCell ref="A41:E41"/>
    <mergeCell ref="B48:E48"/>
    <mergeCell ref="A50:E50"/>
    <mergeCell ref="A51:E51"/>
    <mergeCell ref="A61:E61"/>
    <mergeCell ref="A76:E76"/>
    <mergeCell ref="B77:E77"/>
    <mergeCell ref="B78:E78"/>
    <mergeCell ref="A80:E80"/>
    <mergeCell ref="A81:E81"/>
    <mergeCell ref="B82:E82"/>
    <mergeCell ref="B83:E83"/>
    <mergeCell ref="A91:E91"/>
    <mergeCell ref="B92:E92"/>
    <mergeCell ref="B93:E93"/>
    <mergeCell ref="A95:E95"/>
    <mergeCell ref="A101:E101"/>
    <mergeCell ref="B102:E102"/>
    <mergeCell ref="B103:E103"/>
    <mergeCell ref="B104:E104"/>
    <mergeCell ref="A106:E106"/>
    <mergeCell ref="B107:E107"/>
    <mergeCell ref="B108:E108"/>
    <mergeCell ref="A110:E110"/>
    <mergeCell ref="B111:E111"/>
    <mergeCell ref="B112:E112"/>
    <mergeCell ref="A122:E122"/>
    <mergeCell ref="A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A135:E135"/>
    <mergeCell ref="A136:E136"/>
    <mergeCell ref="B147:E147"/>
    <mergeCell ref="A149:E149"/>
    <mergeCell ref="A156:E1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pane xSplit="2" ySplit="0" topLeftCell="C39" activePane="topRight" state="frozen"/>
      <selection pane="topLeft" activeCell="A39" activeCellId="0" sqref="A39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20" min="3" style="1" width="8"/>
    <col collapsed="false" customWidth="true" hidden="false" outlineLevel="0" max="21" min="21" style="1" width="10"/>
  </cols>
  <sheetData>
    <row r="1" customFormat="false" ht="27.75" hidden="false" customHeight="true" outlineLevel="0" collapsed="false">
      <c r="A1" s="2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.75" hidden="false" customHeight="true" outlineLevel="0" collapsed="false">
      <c r="A2" s="23" t="s">
        <v>297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298</v>
      </c>
      <c r="B4" s="4"/>
      <c r="C4" s="4"/>
      <c r="D4" s="4"/>
      <c r="E4" s="4"/>
      <c r="F4" s="4"/>
    </row>
    <row r="5" customFormat="false" ht="18" hidden="false" customHeight="true" outlineLevel="0" collapsed="false">
      <c r="A5" s="24" t="s">
        <v>299</v>
      </c>
      <c r="B5" s="25" t="n">
        <f aca="false">5_CF!S24</f>
        <v>1164200</v>
      </c>
    </row>
    <row r="6" customFormat="false" ht="18" hidden="false" customHeight="true" outlineLevel="0" collapsed="false">
      <c r="A6" s="24" t="s">
        <v>300</v>
      </c>
      <c r="B6" s="26" t="n">
        <f aca="false">IFERROR(ROUND(5_CF!S24/MAX(1,ABS(3_IS!S9)),1),"-")</f>
        <v>179.1</v>
      </c>
    </row>
    <row r="7" customFormat="false" ht="18" hidden="false" customHeight="true" outlineLevel="0" collapsed="false">
      <c r="A7" s="24" t="s">
        <v>301</v>
      </c>
      <c r="B7" s="25" t="n">
        <f aca="false">MIN(5_CF!B24,5_CF!C24,5_CF!D24,5_CF!E24,5_CF!F24,5_CF!G24,5_CF!H24,5_CF!I24,5_CF!J24,5_CF!K24,5_CF!L24,5_CF!M24,5_CF!N24,5_CF!O24,5_CF!P24,5_CF!Q24,5_CF!R24,5_CF!S24)</f>
        <v>-50803</v>
      </c>
    </row>
    <row r="8" customFormat="false" ht="6" hidden="false" customHeight="true" outlineLevel="0" collapsed="false"/>
    <row r="9" customFormat="false" ht="18" hidden="false" customHeight="true" outlineLevel="0" collapsed="false">
      <c r="A9" s="27" t="s">
        <v>302</v>
      </c>
      <c r="B9" s="27"/>
      <c r="C9" s="27"/>
      <c r="D9" s="27"/>
      <c r="E9" s="27"/>
      <c r="F9" s="27"/>
    </row>
    <row r="10" customFormat="false" ht="18" hidden="false" customHeight="true" outlineLevel="0" collapsed="false">
      <c r="A10" s="24" t="s">
        <v>303</v>
      </c>
      <c r="B10" s="28" t="n">
        <f aca="false">IF(2_Revenue!S31&gt;0,2_Revenue!S31,IF(2_Revenue!R31&gt;0,2_Revenue!R31,IF(2_Revenue!Q31&gt;0,2_Revenue!Q31,IF(2_Revenue!P31&gt;0,2_Revenue!P31,IF(2_Revenue!O31&gt;0,2_Revenue!O31,IF(2_Revenue!N31&gt;0,2_Revenue!N31,IF(2_Revenue!M31&gt;0,2_Revenue!M31,0)))))))</f>
        <v>33575.85</v>
      </c>
    </row>
    <row r="11" customFormat="false" ht="18" hidden="false" customHeight="true" outlineLevel="0" collapsed="false">
      <c r="A11" s="24" t="s">
        <v>304</v>
      </c>
      <c r="B11" s="25" t="n">
        <f aca="false">SUM(2_Revenue!B31,2_Revenue!C31,2_Revenue!D31,2_Revenue!E31,2_Revenue!F31,2_Revenue!G31,2_Revenue!H31,2_Revenue!I31,2_Revenue!J31,2_Revenue!K31,2_Revenue!L31,2_Revenue!M31,2_Revenue!N31,2_Revenue!O31,2_Revenue!P31,2_Revenue!Q31,2_Revenue!R31,2_Revenue!S31)</f>
        <v>1503432</v>
      </c>
    </row>
    <row r="12" customFormat="false" ht="18" hidden="false" customHeight="true" outlineLevel="0" collapsed="false">
      <c r="A12" s="24" t="s">
        <v>305</v>
      </c>
      <c r="B12" s="29" t="n">
        <f aca="false">SUM(2_Revenue!B11,2_Revenue!C11,2_Revenue!D11,2_Revenue!E11,2_Revenue!F11,2_Revenue!G11,2_Revenue!H11,2_Revenue!I11,2_Revenue!J11,2_Revenue!K11,2_Revenue!L11,2_Revenue!M11,2_Revenue!N11,2_Revenue!O11,2_Revenue!P11,2_Revenue!Q11,2_Revenue!R11,2_Revenue!S11)</f>
        <v>5024</v>
      </c>
    </row>
    <row r="13" customFormat="false" ht="6" hidden="false" customHeight="true" outlineLevel="0" collapsed="false"/>
    <row r="14" customFormat="false" ht="18" hidden="false" customHeight="true" outlineLevel="0" collapsed="false">
      <c r="A14" s="30" t="s">
        <v>306</v>
      </c>
      <c r="B14" s="30"/>
      <c r="C14" s="30"/>
      <c r="D14" s="30"/>
      <c r="E14" s="30"/>
      <c r="F14" s="30"/>
    </row>
    <row r="15" customFormat="false" ht="18" hidden="false" customHeight="true" outlineLevel="0" collapsed="false">
      <c r="A15" s="24" t="s">
        <v>307</v>
      </c>
      <c r="B15" s="31" t="n">
        <f aca="false">IF(2_Revenue!S31&gt;0,2_Revenue!S34,IF(2_Revenue!R31&gt;0,2_Revenue!R34,IF(2_Revenue!Q31&gt;0,2_Revenue!Q34,IF(2_Revenue!P31&gt;0,2_Revenue!P34,IF(2_Revenue!O31&gt;0,2_Revenue!O34,IF(2_Revenue!N31&gt;0,2_Revenue!N34,IF(2_Revenue!M31&gt;0,2_Revenue!M34,0)))))))</f>
        <v>0.492063492063492</v>
      </c>
    </row>
    <row r="16" customFormat="false" ht="18" hidden="false" customHeight="true" outlineLevel="0" collapsed="false">
      <c r="A16" s="24" t="s">
        <v>308</v>
      </c>
      <c r="B16" s="31" t="n">
        <f aca="false">IF(3_IS!S4&gt;0,IFERROR(3_IS!S10/3_IS!S4,0),IF(3_IS!R4&gt;0,IFERROR(3_IS!R10/3_IS!R4,0),IF(3_IS!Q4&gt;0,IFERROR(3_IS!Q10/3_IS!Q4,0),IF(3_IS!P4&gt;0,IFERROR(3_IS!P10/3_IS!P4,0),IF(3_IS!O4&gt;0,IFERROR(3_IS!O10/3_IS!O4,0),IF(3_IS!N4&gt;0,IFERROR(3_IS!N10/3_IS!N4,0),IF(3_IS!M4&gt;0,IFERROR(3_IS!M10/3_IS!M4,0),0)))))))</f>
        <v>0.298471967202617</v>
      </c>
    </row>
    <row r="17" customFormat="false" ht="18" hidden="false" customHeight="true" outlineLevel="0" collapsed="false">
      <c r="A17" s="24" t="s">
        <v>309</v>
      </c>
      <c r="B17" s="31" t="n">
        <f aca="false">IF(3_IS!S4&gt;0,IFERROR(3_IS!S17/3_IS!S4,0),IF(3_IS!R4&gt;0,IFERROR(3_IS!R17/3_IS!R4,0),IF(3_IS!Q4&gt;0,IFERROR(3_IS!Q17/3_IS!Q4,0),IF(3_IS!P4&gt;0,IFERROR(3_IS!P17/3_IS!P4,0),IF(3_IS!O4&gt;0,IFERROR(3_IS!O17/3_IS!O4,0),IF(3_IS!N4&gt;0,IFERROR(3_IS!N17/3_IS!N4,0),IF(3_IS!M4&gt;0,IFERROR(3_IS!M17/3_IS!M4,0),0)))))))</f>
        <v>0.117726722499835</v>
      </c>
    </row>
    <row r="18" customFormat="false" ht="18" hidden="false" customHeight="true" outlineLevel="0" collapsed="false">
      <c r="A18" s="24" t="s">
        <v>310</v>
      </c>
      <c r="B18" s="32" t="str">
        <f aca="false">IFERROR(IF(3_IS!B10&gt;0,"Jan-26",IF(3_IS!C10&gt;0,"Feb-26",IF(3_IS!D10&gt;0,"Mar-26",IF(3_IS!E10&gt;0,"Apr-26",IF(3_IS!F10&gt;0,"May-26",IF(3_IS!G10&gt;0,"Jun-26",IF(3_IS!H10&gt;0,"Jul-26",IF(3_IS!I10&gt;0,"Aug-26",IF(3_IS!J10&gt;0,"Sep-26",IF(3_IS!K10&gt;0,"Oct-26",IF(3_IS!L10&gt;0,"Nov-26",IF(3_IS!M10&gt;0,"Dec-26",IF(3_IS!N10&gt;0,"Jan-27",IF(3_IS!O10&gt;0,"Feb-27",IF(3_IS!P10&gt;0,"Mar-27",IF(3_IS!Q10&gt;0,"Apr-27",IF(3_IS!R10&gt;0,"May-27",IF(3_IS!S10&gt;0,"Jun-27","&gt;M18")))))))))))))))))),"N/A")</f>
        <v>May-26</v>
      </c>
    </row>
    <row r="19" customFormat="false" ht="6" hidden="false" customHeight="true" outlineLevel="0" collapsed="false"/>
    <row r="20" customFormat="false" ht="18" hidden="false" customHeight="true" outlineLevel="0" collapsed="false">
      <c r="A20" s="33" t="s">
        <v>311</v>
      </c>
      <c r="B20" s="33"/>
      <c r="C20" s="33"/>
      <c r="D20" s="33"/>
      <c r="E20" s="33"/>
      <c r="F20" s="33"/>
    </row>
    <row r="21" customFormat="false" ht="18" hidden="false" customHeight="true" outlineLevel="0" collapsed="false">
      <c r="A21" s="24" t="s">
        <v>312</v>
      </c>
      <c r="B21" s="31" t="n">
        <f aca="false">IF(2_Revenue!S31&gt;0,IFERROR(2_Revenue!S16/2_Revenue!S31,0),IF(2_Revenue!R31&gt;0,IFERROR(2_Revenue!R16/2_Revenue!R31,0),IF(2_Revenue!Q31&gt;0,IFERROR(2_Revenue!Q16/2_Revenue!Q31,0),IF(2_Revenue!P31&gt;0,IFERROR(2_Revenue!P16/2_Revenue!P31,0),IF(2_Revenue!O31&gt;0,IFERROR(2_Revenue!O16/2_Revenue!O31,0),IF(2_Revenue!N31&gt;0,IFERROR(2_Revenue!N16/2_Revenue!N31,0),IF(2_Revenue!M31&gt;0,IFERROR(2_Revenue!M16/2_Revenue!M31,0),0)))))))</f>
        <v>1</v>
      </c>
    </row>
    <row r="22" customFormat="false" ht="18" hidden="false" customHeight="true" outlineLevel="0" collapsed="false">
      <c r="A22" s="24" t="s">
        <v>313</v>
      </c>
      <c r="B22" s="31" t="n">
        <f aca="false">IF(2_Revenue!S31&gt;0,IFERROR(2_Revenue!S22/2_Revenue!S31,0),IF(2_Revenue!R31&gt;0,IFERROR(2_Revenue!R22/2_Revenue!R31,0),IF(2_Revenue!Q31&gt;0,IFERROR(2_Revenue!Q22/2_Revenue!Q31,0),IF(2_Revenue!P31&gt;0,IFERROR(2_Revenue!P22/2_Revenue!P31,0),IF(2_Revenue!O31&gt;0,IFERROR(2_Revenue!O22/2_Revenue!O31,0),IF(2_Revenue!N31&gt;0,IFERROR(2_Revenue!N22/2_Revenue!N31,0),IF(2_Revenue!M31&gt;0,IFERROR(2_Revenue!M22/2_Revenue!M31,0),0)))))))</f>
        <v>0</v>
      </c>
    </row>
    <row r="23" customFormat="false" ht="18" hidden="false" customHeight="true" outlineLevel="0" collapsed="false">
      <c r="A23" s="24" t="s">
        <v>314</v>
      </c>
      <c r="B23" s="31" t="n">
        <f aca="false">IF(2_Revenue!S31&gt;0,IFERROR(2_Revenue!S27/2_Revenue!S31,0),IF(2_Revenue!R31&gt;0,IFERROR(2_Revenue!R27/2_Revenue!R31,0),IF(2_Revenue!Q31&gt;0,IFERROR(2_Revenue!Q27/2_Revenue!Q31,0),IF(2_Revenue!P31&gt;0,IFERROR(2_Revenue!P27/2_Revenue!P31,0),IF(2_Revenue!O31&gt;0,IFERROR(2_Revenue!O27/2_Revenue!O31,0),IF(2_Revenue!N31&gt;0,IFERROR(2_Revenue!N27/2_Revenue!N31,0),IF(2_Revenue!M31&gt;0,IFERROR(2_Revenue!M27/2_Revenue!M31,0),0)))))))</f>
        <v>0</v>
      </c>
    </row>
    <row r="24" customFormat="false" ht="6" hidden="false" customHeight="true" outlineLevel="0" collapsed="false"/>
    <row r="25" customFormat="false" ht="18" hidden="false" customHeight="true" outlineLevel="0" collapsed="false">
      <c r="A25" s="4" t="s">
        <v>315</v>
      </c>
      <c r="B25" s="4"/>
      <c r="C25" s="4"/>
      <c r="D25" s="4"/>
      <c r="E25" s="4"/>
      <c r="F25" s="4"/>
    </row>
    <row r="26" customFormat="false" ht="18" hidden="false" customHeight="true" outlineLevel="0" collapsed="false">
      <c r="A26" s="24" t="s">
        <v>316</v>
      </c>
      <c r="B26" s="29" t="n">
        <f aca="false">2_Revenue!S5</f>
        <v>210</v>
      </c>
    </row>
    <row r="27" customFormat="false" ht="18" hidden="false" customHeight="true" outlineLevel="0" collapsed="false">
      <c r="A27" s="24" t="s">
        <v>317</v>
      </c>
      <c r="B27" s="34" t="n">
        <f aca="false">REV_REORDER_PROB</f>
        <v>0.7</v>
      </c>
    </row>
    <row r="28" customFormat="false" ht="18" hidden="false" customHeight="true" outlineLevel="0" collapsed="false">
      <c r="A28" s="24" t="s">
        <v>318</v>
      </c>
      <c r="B28" s="25" t="n">
        <f aca="false">12_ClinicAnalytics!B38</f>
        <v>815.733333333333</v>
      </c>
    </row>
    <row r="29" customFormat="false" ht="18" hidden="false" customHeight="true" outlineLevel="0" collapsed="false">
      <c r="A29" s="24" t="s">
        <v>319</v>
      </c>
      <c r="B29" s="26" t="n">
        <f aca="false">12_ClinicAnalytics!B34</f>
        <v>167.808</v>
      </c>
    </row>
    <row r="30" customFormat="false" ht="6" hidden="false" customHeight="true" outlineLevel="0" collapsed="false"/>
    <row r="31" customFormat="false" ht="18" hidden="false" customHeight="true" outlineLevel="0" collapsed="false">
      <c r="A31" s="35" t="s">
        <v>320</v>
      </c>
      <c r="B31" s="35"/>
      <c r="C31" s="35"/>
      <c r="D31" s="35"/>
      <c r="E31" s="35"/>
      <c r="F31" s="35"/>
    </row>
    <row r="32" customFormat="false" ht="18" hidden="false" customHeight="true" outlineLevel="0" collapsed="false">
      <c r="A32" s="24" t="s">
        <v>321</v>
      </c>
      <c r="B32" s="25" t="n">
        <f aca="false">SUM(5_CF!B18,5_CF!C18,5_CF!D18,5_CF!E18,5_CF!F18,5_CF!G18,5_CF!H18,5_CF!I18,5_CF!J18,5_CF!K18,5_CF!L18,5_CF!M18,5_CF!N18,5_CF!O18,5_CF!P18,5_CF!Q18,5_CF!R18,5_CF!S18)</f>
        <v>750000</v>
      </c>
    </row>
    <row r="33" customFormat="false" ht="18" hidden="false" customHeight="true" outlineLevel="0" collapsed="false">
      <c r="A33" s="24" t="s">
        <v>322</v>
      </c>
      <c r="B33" s="34" t="n">
        <f aca="false">8_CapTable!B33</f>
        <v>0.210526315789474</v>
      </c>
    </row>
    <row r="34" customFormat="false" ht="18" hidden="false" customHeight="true" outlineLevel="0" collapsed="false">
      <c r="A34" s="24" t="s">
        <v>323</v>
      </c>
      <c r="B34" s="25" t="n">
        <f aca="false">7_Debt!S7+7_Debt!S14+7_Debt!S19</f>
        <v>436130.125386041</v>
      </c>
    </row>
    <row r="35" customFormat="false" ht="18" hidden="false" customHeight="true" outlineLevel="0" collapsed="false">
      <c r="A35" s="24" t="s">
        <v>324</v>
      </c>
      <c r="B35" s="26" t="n">
        <f aca="false">IFERROR(3_IS!S10/(MAX(1,ABS(7_Debt!S6)+ABS(7_Debt!S13)+ABS(7_Debt!S18))),"n/m")</f>
        <v>-0.616914910917696</v>
      </c>
    </row>
    <row r="36" customFormat="false" ht="6" hidden="false" customHeight="true" outlineLevel="0" collapsed="false"/>
    <row r="37" customFormat="false" ht="19.5" hidden="false" customHeight="true" outlineLevel="0" collapsed="false">
      <c r="A37" s="36" t="s">
        <v>325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</row>
    <row r="38" customFormat="false" ht="15.75" hidden="false" customHeight="true" outlineLevel="0" collapsed="false">
      <c r="A38" s="37" t="s">
        <v>326</v>
      </c>
      <c r="B38" s="37" t="s">
        <v>327</v>
      </c>
      <c r="C38" s="38" t="s">
        <v>328</v>
      </c>
      <c r="D38" s="38" t="s">
        <v>329</v>
      </c>
      <c r="E38" s="38" t="s">
        <v>330</v>
      </c>
      <c r="F38" s="38" t="s">
        <v>331</v>
      </c>
      <c r="G38" s="38" t="s">
        <v>332</v>
      </c>
      <c r="H38" s="38" t="s">
        <v>333</v>
      </c>
      <c r="I38" s="38" t="s">
        <v>334</v>
      </c>
      <c r="J38" s="38" t="s">
        <v>335</v>
      </c>
      <c r="K38" s="38" t="s">
        <v>336</v>
      </c>
      <c r="L38" s="38" t="s">
        <v>337</v>
      </c>
      <c r="M38" s="38" t="s">
        <v>338</v>
      </c>
      <c r="N38" s="38" t="s">
        <v>339</v>
      </c>
      <c r="O38" s="38" t="s">
        <v>340</v>
      </c>
      <c r="P38" s="38" t="s">
        <v>341</v>
      </c>
      <c r="Q38" s="38" t="s">
        <v>342</v>
      </c>
      <c r="R38" s="38" t="s">
        <v>343</v>
      </c>
      <c r="S38" s="38" t="s">
        <v>344</v>
      </c>
      <c r="T38" s="38" t="s">
        <v>345</v>
      </c>
      <c r="U38" s="39" t="s">
        <v>346</v>
      </c>
    </row>
    <row r="39" customFormat="false" ht="15.75" hidden="false" customHeight="true" outlineLevel="0" collapsed="false">
      <c r="A39" s="40" t="s">
        <v>347</v>
      </c>
      <c r="B39" s="41" t="s">
        <v>348</v>
      </c>
      <c r="C39" s="42" t="str">
        <f aca="false">IF(ABS(6_BS!B38)&lt;1,"PASS","FAIL")</f>
        <v>PASS</v>
      </c>
      <c r="D39" s="42" t="str">
        <f aca="false">IF(ABS(6_BS!C38)&lt;1,"PASS","FAIL")</f>
        <v>PASS</v>
      </c>
      <c r="E39" s="42" t="str">
        <f aca="false">IF(ABS(6_BS!D38)&lt;1,"PASS","FAIL")</f>
        <v>PASS</v>
      </c>
      <c r="F39" s="42" t="str">
        <f aca="false">IF(ABS(6_BS!E38)&lt;1,"PASS","FAIL")</f>
        <v>PASS</v>
      </c>
      <c r="G39" s="42" t="str">
        <f aca="false">IF(ABS(6_BS!F38)&lt;1,"PASS","FAIL")</f>
        <v>PASS</v>
      </c>
      <c r="H39" s="42" t="str">
        <f aca="false">IF(ABS(6_BS!G38)&lt;1,"PASS","FAIL")</f>
        <v>PASS</v>
      </c>
      <c r="I39" s="42" t="str">
        <f aca="false">IF(ABS(6_BS!H38)&lt;1,"PASS","FAIL")</f>
        <v>PASS</v>
      </c>
      <c r="J39" s="42" t="str">
        <f aca="false">IF(ABS(6_BS!I38)&lt;1,"PASS","FAIL")</f>
        <v>PASS</v>
      </c>
      <c r="K39" s="42" t="str">
        <f aca="false">IF(ABS(6_BS!J38)&lt;1,"PASS","FAIL")</f>
        <v>PASS</v>
      </c>
      <c r="L39" s="42" t="str">
        <f aca="false">IF(ABS(6_BS!K38)&lt;1,"PASS","FAIL")</f>
        <v>PASS</v>
      </c>
      <c r="M39" s="42" t="str">
        <f aca="false">IF(ABS(6_BS!L38)&lt;1,"PASS","FAIL")</f>
        <v>PASS</v>
      </c>
      <c r="N39" s="42" t="str">
        <f aca="false">IF(ABS(6_BS!M38)&lt;1,"PASS","FAIL")</f>
        <v>PASS</v>
      </c>
      <c r="O39" s="42" t="str">
        <f aca="false">IF(ABS(6_BS!N38)&lt;1,"PASS","FAIL")</f>
        <v>PASS</v>
      </c>
      <c r="P39" s="42" t="str">
        <f aca="false">IF(ABS(6_BS!O38)&lt;1,"PASS","FAIL")</f>
        <v>PASS</v>
      </c>
      <c r="Q39" s="42" t="str">
        <f aca="false">IF(ABS(6_BS!P38)&lt;1,"PASS","FAIL")</f>
        <v>PASS</v>
      </c>
      <c r="R39" s="42" t="str">
        <f aca="false">IF(ABS(6_BS!Q38)&lt;1,"PASS","FAIL")</f>
        <v>PASS</v>
      </c>
      <c r="S39" s="42" t="str">
        <f aca="false">IF(ABS(6_BS!R38)&lt;1,"PASS","FAIL")</f>
        <v>PASS</v>
      </c>
      <c r="T39" s="42" t="str">
        <f aca="false">IF(ABS(6_BS!S38)&lt;1,"PASS","FAIL")</f>
        <v>PASS</v>
      </c>
      <c r="U39" s="43" t="str">
        <f aca="false">IF((IF(C39="PASS",1,0)+IF(D39="PASS",1,0)+IF(E39="PASS",1,0)+IF(F39="PASS",1,0)+IF(G39="PASS",1,0)+IF(H39="PASS",1,0)+IF(I39="PASS",1,0)+IF(J39="PASS",1,0)+IF(K39="PASS",1,0)+IF(L39="PASS",1,0)+IF(M39="PASS",1,0)+IF(N39="PASS",1,0)+IF(O39="PASS",1,0)+IF(P39="PASS",1,0)+IF(Q39="PASS",1,0)+IF(R39="PASS",1,0)+IF(S39="PASS",1,0)+IF(T39="PASS",1,0))=18,"PASS","FAIL")</f>
        <v>PASS</v>
      </c>
    </row>
    <row r="40" customFormat="false" ht="15.75" hidden="false" customHeight="true" outlineLevel="0" collapsed="false">
      <c r="A40" s="40" t="s">
        <v>349</v>
      </c>
      <c r="B40" s="41" t="s">
        <v>350</v>
      </c>
      <c r="C40" s="42" t="str">
        <f aca="false">IF(ABS(5_CF!B23-OB_CASH)&lt;1,"PASS","FAIL")</f>
        <v>PASS</v>
      </c>
      <c r="D40" s="42" t="str">
        <f aca="false">IF(ABS(5_CF!C23-5_CF!B24)&lt;1,"PASS","FAIL")</f>
        <v>PASS</v>
      </c>
      <c r="E40" s="42" t="str">
        <f aca="false">IF(ABS(5_CF!D23-5_CF!C24)&lt;1,"PASS","FAIL")</f>
        <v>PASS</v>
      </c>
      <c r="F40" s="42" t="str">
        <f aca="false">IF(ABS(5_CF!E23-5_CF!D24)&lt;1,"PASS","FAIL")</f>
        <v>PASS</v>
      </c>
      <c r="G40" s="42" t="str">
        <f aca="false">IF(ABS(5_CF!F23-5_CF!E24)&lt;1,"PASS","FAIL")</f>
        <v>PASS</v>
      </c>
      <c r="H40" s="42" t="str">
        <f aca="false">IF(ABS(5_CF!G23-5_CF!F24)&lt;1,"PASS","FAIL")</f>
        <v>PASS</v>
      </c>
      <c r="I40" s="42" t="str">
        <f aca="false">IF(ABS(5_CF!H23-5_CF!G24)&lt;1,"PASS","FAIL")</f>
        <v>PASS</v>
      </c>
      <c r="J40" s="42" t="str">
        <f aca="false">IF(ABS(5_CF!I23-5_CF!H24)&lt;1,"PASS","FAIL")</f>
        <v>PASS</v>
      </c>
      <c r="K40" s="42" t="str">
        <f aca="false">IF(ABS(5_CF!J23-5_CF!I24)&lt;1,"PASS","FAIL")</f>
        <v>PASS</v>
      </c>
      <c r="L40" s="42" t="str">
        <f aca="false">IF(ABS(5_CF!K23-5_CF!J24)&lt;1,"PASS","FAIL")</f>
        <v>PASS</v>
      </c>
      <c r="M40" s="42" t="str">
        <f aca="false">IF(ABS(5_CF!L23-5_CF!K24)&lt;1,"PASS","FAIL")</f>
        <v>PASS</v>
      </c>
      <c r="N40" s="42" t="str">
        <f aca="false">IF(ABS(5_CF!M23-5_CF!L24)&lt;1,"PASS","FAIL")</f>
        <v>PASS</v>
      </c>
      <c r="O40" s="42" t="str">
        <f aca="false">IF(ABS(5_CF!N23-5_CF!M24)&lt;1,"PASS","FAIL")</f>
        <v>PASS</v>
      </c>
      <c r="P40" s="42" t="str">
        <f aca="false">IF(ABS(5_CF!O23-5_CF!N24)&lt;1,"PASS","FAIL")</f>
        <v>PASS</v>
      </c>
      <c r="Q40" s="42" t="str">
        <f aca="false">IF(ABS(5_CF!P23-5_CF!O24)&lt;1,"PASS","FAIL")</f>
        <v>PASS</v>
      </c>
      <c r="R40" s="42" t="str">
        <f aca="false">IF(ABS(5_CF!Q23-5_CF!P24)&lt;1,"PASS","FAIL")</f>
        <v>PASS</v>
      </c>
      <c r="S40" s="42" t="str">
        <f aca="false">IF(ABS(5_CF!R23-5_CF!Q24)&lt;1,"PASS","FAIL")</f>
        <v>PASS</v>
      </c>
      <c r="T40" s="42" t="str">
        <f aca="false">IF(ABS(5_CF!S23-5_CF!R24)&lt;1,"PASS","FAIL")</f>
        <v>PASS</v>
      </c>
      <c r="U40" s="43" t="str">
        <f aca="false">IF((IF(C40="PASS",1,0)+IF(D40="PASS",1,0)+IF(E40="PASS",1,0)+IF(F40="PASS",1,0)+IF(G40="PASS",1,0)+IF(H40="PASS",1,0)+IF(I40="PASS",1,0)+IF(J40="PASS",1,0)+IF(K40="PASS",1,0)+IF(L40="PASS",1,0)+IF(M40="PASS",1,0)+IF(N40="PASS",1,0)+IF(O40="PASS",1,0)+IF(P40="PASS",1,0)+IF(Q40="PASS",1,0)+IF(R40="PASS",1,0)+IF(S40="PASS",1,0)+IF(T40="PASS",1,0))=18,"PASS","FAIL")</f>
        <v>PASS</v>
      </c>
    </row>
    <row r="41" customFormat="false" ht="15.75" hidden="false" customHeight="true" outlineLevel="0" collapsed="false">
      <c r="A41" s="40" t="s">
        <v>351</v>
      </c>
      <c r="B41" s="41" t="s">
        <v>352</v>
      </c>
      <c r="C41" s="42" t="str">
        <f aca="false">IF(6_BS!B7&gt;=0,"PASS","FAIL")</f>
        <v>PASS</v>
      </c>
      <c r="D41" s="42" t="str">
        <f aca="false">IF(6_BS!C7&gt;=0,"PASS","FAIL")</f>
        <v>PASS</v>
      </c>
      <c r="E41" s="42" t="str">
        <f aca="false">IF(6_BS!D7&gt;=0,"PASS","FAIL")</f>
        <v>PASS</v>
      </c>
      <c r="F41" s="42" t="str">
        <f aca="false">IF(6_BS!E7&gt;=0,"PASS","FAIL")</f>
        <v>PASS</v>
      </c>
      <c r="G41" s="42" t="str">
        <f aca="false">IF(6_BS!F7&gt;=0,"PASS","FAIL")</f>
        <v>PASS</v>
      </c>
      <c r="H41" s="42" t="str">
        <f aca="false">IF(6_BS!G7&gt;=0,"PASS","FAIL")</f>
        <v>PASS</v>
      </c>
      <c r="I41" s="42" t="str">
        <f aca="false">IF(6_BS!H7&gt;=0,"PASS","FAIL")</f>
        <v>PASS</v>
      </c>
      <c r="J41" s="42" t="str">
        <f aca="false">IF(6_BS!I7&gt;=0,"PASS","FAIL")</f>
        <v>PASS</v>
      </c>
      <c r="K41" s="42" t="str">
        <f aca="false">IF(6_BS!J7&gt;=0,"PASS","FAIL")</f>
        <v>PASS</v>
      </c>
      <c r="L41" s="42" t="str">
        <f aca="false">IF(6_BS!K7&gt;=0,"PASS","FAIL")</f>
        <v>PASS</v>
      </c>
      <c r="M41" s="42" t="str">
        <f aca="false">IF(6_BS!L7&gt;=0,"PASS","FAIL")</f>
        <v>PASS</v>
      </c>
      <c r="N41" s="42" t="str">
        <f aca="false">IF(6_BS!M7&gt;=0,"PASS","FAIL")</f>
        <v>PASS</v>
      </c>
      <c r="O41" s="42" t="str">
        <f aca="false">IF(6_BS!N7&gt;=0,"PASS","FAIL")</f>
        <v>PASS</v>
      </c>
      <c r="P41" s="42" t="str">
        <f aca="false">IF(6_BS!O7&gt;=0,"PASS","FAIL")</f>
        <v>PASS</v>
      </c>
      <c r="Q41" s="42" t="str">
        <f aca="false">IF(6_BS!P7&gt;=0,"PASS","FAIL")</f>
        <v>PASS</v>
      </c>
      <c r="R41" s="42" t="str">
        <f aca="false">IF(6_BS!Q7&gt;=0,"PASS","FAIL")</f>
        <v>PASS</v>
      </c>
      <c r="S41" s="42" t="str">
        <f aca="false">IF(6_BS!R7&gt;=0,"PASS","FAIL")</f>
        <v>PASS</v>
      </c>
      <c r="T41" s="42" t="str">
        <f aca="false">IF(6_BS!S7&gt;=0,"PASS","FAIL")</f>
        <v>PASS</v>
      </c>
      <c r="U41" s="43" t="str">
        <f aca="false">IF((IF(C41="PASS",1,0)+IF(D41="PASS",1,0)+IF(E41="PASS",1,0)+IF(F41="PASS",1,0)+IF(G41="PASS",1,0)+IF(H41="PASS",1,0)+IF(I41="PASS",1,0)+IF(J41="PASS",1,0)+IF(K41="PASS",1,0)+IF(L41="PASS",1,0)+IF(M41="PASS",1,0)+IF(N41="PASS",1,0)+IF(O41="PASS",1,0)+IF(P41="PASS",1,0)+IF(Q41="PASS",1,0)+IF(R41="PASS",1,0)+IF(S41="PASS",1,0)+IF(T41="PASS",1,0))=18,"PASS","FAIL")</f>
        <v>PASS</v>
      </c>
    </row>
    <row r="42" customFormat="false" ht="15.75" hidden="false" customHeight="true" outlineLevel="0" collapsed="false">
      <c r="A42" s="40" t="s">
        <v>353</v>
      </c>
      <c r="B42" s="41" t="s">
        <v>354</v>
      </c>
      <c r="C42" s="42" t="str">
        <f aca="false">IF(ABS(2_Revenue!B8+2_Revenue!B9+2_Revenue!B10-2_Revenue!B11-2_Revenue!B12-2_Revenue!B13)&lt;1,"PASS","FAIL")</f>
        <v>PASS</v>
      </c>
      <c r="D42" s="42" t="str">
        <f aca="false">IF(ABS(2_Revenue!B12+2_Revenue!C8+2_Revenue!C9+2_Revenue!C10-2_Revenue!C11-2_Revenue!C12-2_Revenue!C13)&lt;1,"PASS","FAIL")</f>
        <v>PASS</v>
      </c>
      <c r="E42" s="42" t="str">
        <f aca="false">IF(ABS(2_Revenue!C12+2_Revenue!D8+2_Revenue!D9+2_Revenue!D10-2_Revenue!D11-2_Revenue!D12-2_Revenue!D13)&lt;1,"PASS","FAIL")</f>
        <v>PASS</v>
      </c>
      <c r="F42" s="42" t="str">
        <f aca="false">IF(ABS(2_Revenue!D12+2_Revenue!E8+2_Revenue!E9+2_Revenue!E10-2_Revenue!E11-2_Revenue!E12-2_Revenue!E13)&lt;1,"PASS","FAIL")</f>
        <v>PASS</v>
      </c>
      <c r="G42" s="42" t="str">
        <f aca="false">IF(ABS(2_Revenue!E12+2_Revenue!F8+2_Revenue!F9+2_Revenue!F10-2_Revenue!F11-2_Revenue!F12-2_Revenue!F13)&lt;1,"PASS","FAIL")</f>
        <v>PASS</v>
      </c>
      <c r="H42" s="42" t="str">
        <f aca="false">IF(ABS(2_Revenue!F12+2_Revenue!G8+2_Revenue!G9+2_Revenue!G10-2_Revenue!G11-2_Revenue!G12-2_Revenue!G13)&lt;1,"PASS","FAIL")</f>
        <v>PASS</v>
      </c>
      <c r="I42" s="42" t="str">
        <f aca="false">IF(ABS(2_Revenue!G12+2_Revenue!H8+2_Revenue!H9+2_Revenue!H10-2_Revenue!H11-2_Revenue!H12-2_Revenue!H13)&lt;1,"PASS","FAIL")</f>
        <v>PASS</v>
      </c>
      <c r="J42" s="42" t="str">
        <f aca="false">IF(ABS(2_Revenue!H12+2_Revenue!I8+2_Revenue!I9+2_Revenue!I10-2_Revenue!I11-2_Revenue!I12-2_Revenue!I13)&lt;1,"PASS","FAIL")</f>
        <v>PASS</v>
      </c>
      <c r="K42" s="42" t="str">
        <f aca="false">IF(ABS(2_Revenue!I12+2_Revenue!J8+2_Revenue!J9+2_Revenue!J10-2_Revenue!J11-2_Revenue!J12-2_Revenue!J13)&lt;1,"PASS","FAIL")</f>
        <v>PASS</v>
      </c>
      <c r="L42" s="42" t="str">
        <f aca="false">IF(ABS(2_Revenue!J12+2_Revenue!K8+2_Revenue!K9+2_Revenue!K10-2_Revenue!K11-2_Revenue!K12-2_Revenue!K13)&lt;1,"PASS","FAIL")</f>
        <v>PASS</v>
      </c>
      <c r="M42" s="42" t="str">
        <f aca="false">IF(ABS(2_Revenue!K12+2_Revenue!L8+2_Revenue!L9+2_Revenue!L10-2_Revenue!L11-2_Revenue!L12-2_Revenue!L13)&lt;1,"PASS","FAIL")</f>
        <v>PASS</v>
      </c>
      <c r="N42" s="42" t="str">
        <f aca="false">IF(ABS(2_Revenue!L12+2_Revenue!M8+2_Revenue!M9+2_Revenue!M10-2_Revenue!M11-2_Revenue!M12-2_Revenue!M13)&lt;1,"PASS","FAIL")</f>
        <v>PASS</v>
      </c>
      <c r="O42" s="42" t="str">
        <f aca="false">IF(ABS(2_Revenue!M12+2_Revenue!N8+2_Revenue!N9+2_Revenue!N10-2_Revenue!N11-2_Revenue!N12-2_Revenue!N13)&lt;1,"PASS","FAIL")</f>
        <v>PASS</v>
      </c>
      <c r="P42" s="42" t="str">
        <f aca="false">IF(ABS(2_Revenue!N12+2_Revenue!O8+2_Revenue!O9+2_Revenue!O10-2_Revenue!O11-2_Revenue!O12-2_Revenue!O13)&lt;1,"PASS","FAIL")</f>
        <v>PASS</v>
      </c>
      <c r="Q42" s="42" t="str">
        <f aca="false">IF(ABS(2_Revenue!O12+2_Revenue!P8+2_Revenue!P9+2_Revenue!P10-2_Revenue!P11-2_Revenue!P12-2_Revenue!P13)&lt;1,"PASS","FAIL")</f>
        <v>PASS</v>
      </c>
      <c r="R42" s="42" t="str">
        <f aca="false">IF(ABS(2_Revenue!P12+2_Revenue!Q8+2_Revenue!Q9+2_Revenue!Q10-2_Revenue!Q11-2_Revenue!Q12-2_Revenue!Q13)&lt;1,"PASS","FAIL")</f>
        <v>PASS</v>
      </c>
      <c r="S42" s="42" t="str">
        <f aca="false">IF(ABS(2_Revenue!Q12+2_Revenue!R8+2_Revenue!R9+2_Revenue!R10-2_Revenue!R11-2_Revenue!R12-2_Revenue!R13)&lt;1,"PASS","FAIL")</f>
        <v>PASS</v>
      </c>
      <c r="T42" s="42" t="str">
        <f aca="false">IF(ABS(2_Revenue!R12+2_Revenue!S8+2_Revenue!S9+2_Revenue!S10-2_Revenue!S11-2_Revenue!S12-2_Revenue!S13)&lt;1,"PASS","FAIL")</f>
        <v>PASS</v>
      </c>
      <c r="U42" s="43" t="str">
        <f aca="false">IF((IF(C42="PASS",1,0)+IF(D42="PASS",1,0)+IF(E42="PASS",1,0)+IF(F42="PASS",1,0)+IF(G42="PASS",1,0)+IF(H42="PASS",1,0)+IF(I42="PASS",1,0)+IF(J42="PASS",1,0)+IF(K42="PASS",1,0)+IF(L42="PASS",1,0)+IF(M42="PASS",1,0)+IF(N42="PASS",1,0)+IF(O42="PASS",1,0)+IF(P42="PASS",1,0)+IF(Q42="PASS",1,0)+IF(R42="PASS",1,0)+IF(S42="PASS",1,0)+IF(T42="PASS",1,0))=18,"PASS","FAIL")</f>
        <v>PASS</v>
      </c>
    </row>
    <row r="43" customFormat="false" ht="15.75" hidden="false" customHeight="true" outlineLevel="0" collapsed="false">
      <c r="A43" s="40" t="s">
        <v>355</v>
      </c>
      <c r="B43" s="41" t="s">
        <v>356</v>
      </c>
      <c r="C43" s="42" t="str">
        <f aca="false">IF(ABS(4_WC!B27-(OB_PREPAID+4_WC!B25+4_WC!B26))&lt;1,"PASS","FAIL")</f>
        <v>PASS</v>
      </c>
      <c r="D43" s="42" t="str">
        <f aca="false">IF(ABS(4_WC!C27-(4_WC!B27+4_WC!C25+4_WC!C26))&lt;1,"PASS","FAIL")</f>
        <v>PASS</v>
      </c>
      <c r="E43" s="42" t="str">
        <f aca="false">IF(ABS(4_WC!D27-(4_WC!C27+4_WC!D25+4_WC!D26))&lt;1,"PASS","FAIL")</f>
        <v>PASS</v>
      </c>
      <c r="F43" s="42" t="str">
        <f aca="false">IF(ABS(4_WC!E27-(4_WC!D27+4_WC!E25+4_WC!E26))&lt;1,"PASS","FAIL")</f>
        <v>PASS</v>
      </c>
      <c r="G43" s="42" t="str">
        <f aca="false">IF(ABS(4_WC!F27-(4_WC!E27+4_WC!F25+4_WC!F26))&lt;1,"PASS","FAIL")</f>
        <v>PASS</v>
      </c>
      <c r="H43" s="42" t="str">
        <f aca="false">IF(ABS(4_WC!G27-(4_WC!F27+4_WC!G25+4_WC!G26))&lt;1,"PASS","FAIL")</f>
        <v>PASS</v>
      </c>
      <c r="I43" s="42" t="str">
        <f aca="false">IF(ABS(4_WC!H27-(4_WC!G27+4_WC!H25+4_WC!H26))&lt;1,"PASS","FAIL")</f>
        <v>PASS</v>
      </c>
      <c r="J43" s="42" t="str">
        <f aca="false">IF(ABS(4_WC!I27-(4_WC!H27+4_WC!I25+4_WC!I26))&lt;1,"PASS","FAIL")</f>
        <v>PASS</v>
      </c>
      <c r="K43" s="42" t="str">
        <f aca="false">IF(ABS(4_WC!J27-(4_WC!I27+4_WC!J25+4_WC!J26))&lt;1,"PASS","FAIL")</f>
        <v>PASS</v>
      </c>
      <c r="L43" s="42" t="str">
        <f aca="false">IF(ABS(4_WC!K27-(4_WC!J27+4_WC!K25+4_WC!K26))&lt;1,"PASS","FAIL")</f>
        <v>PASS</v>
      </c>
      <c r="M43" s="42" t="str">
        <f aca="false">IF(ABS(4_WC!L27-(4_WC!K27+4_WC!L25+4_WC!L26))&lt;1,"PASS","FAIL")</f>
        <v>PASS</v>
      </c>
      <c r="N43" s="42" t="str">
        <f aca="false">IF(ABS(4_WC!M27-(4_WC!L27+4_WC!M25+4_WC!M26))&lt;1,"PASS","FAIL")</f>
        <v>PASS</v>
      </c>
      <c r="O43" s="42" t="str">
        <f aca="false">IF(ABS(4_WC!N27-(4_WC!M27+4_WC!N25+4_WC!N26))&lt;1,"PASS","FAIL")</f>
        <v>PASS</v>
      </c>
      <c r="P43" s="42" t="str">
        <f aca="false">IF(ABS(4_WC!O27-(4_WC!N27+4_WC!O25+4_WC!O26))&lt;1,"PASS","FAIL")</f>
        <v>PASS</v>
      </c>
      <c r="Q43" s="42" t="str">
        <f aca="false">IF(ABS(4_WC!P27-(4_WC!O27+4_WC!P25+4_WC!P26))&lt;1,"PASS","FAIL")</f>
        <v>PASS</v>
      </c>
      <c r="R43" s="42" t="str">
        <f aca="false">IF(ABS(4_WC!Q27-(4_WC!P27+4_WC!Q25+4_WC!Q26))&lt;1,"PASS","FAIL")</f>
        <v>PASS</v>
      </c>
      <c r="S43" s="42" t="str">
        <f aca="false">IF(ABS(4_WC!R27-(4_WC!Q27+4_WC!R25+4_WC!R26))&lt;1,"PASS","FAIL")</f>
        <v>PASS</v>
      </c>
      <c r="T43" s="42" t="str">
        <f aca="false">IF(ABS(4_WC!S27-(4_WC!R27+4_WC!S25+4_WC!S26))&lt;1,"PASS","FAIL")</f>
        <v>PASS</v>
      </c>
      <c r="U43" s="43" t="str">
        <f aca="false">IF((IF(C43="PASS",1,0)+IF(D43="PASS",1,0)+IF(E43="PASS",1,0)+IF(F43="PASS",1,0)+IF(G43="PASS",1,0)+IF(H43="PASS",1,0)+IF(I43="PASS",1,0)+IF(J43="PASS",1,0)+IF(K43="PASS",1,0)+IF(L43="PASS",1,0)+IF(M43="PASS",1,0)+IF(N43="PASS",1,0)+IF(O43="PASS",1,0)+IF(P43="PASS",1,0)+IF(Q43="PASS",1,0)+IF(R43="PASS",1,0)+IF(S43="PASS",1,0)+IF(T43="PASS",1,0))=18,"PASS","FAIL")</f>
        <v>PASS</v>
      </c>
    </row>
    <row r="44" customFormat="false" ht="15.75" hidden="false" customHeight="true" outlineLevel="0" collapsed="false">
      <c r="A44" s="40" t="s">
        <v>357</v>
      </c>
      <c r="B44" s="41" t="s">
        <v>358</v>
      </c>
      <c r="C44" s="42" t="str">
        <f aca="false">IF(ABS(2_Revenue!B31-(2_Revenue!B16+2_Revenue!B22+2_Revenue!B27))&lt;1,"PASS","FAIL")</f>
        <v>PASS</v>
      </c>
      <c r="D44" s="42" t="str">
        <f aca="false">IF(ABS(2_Revenue!C31-(2_Revenue!C16+2_Revenue!C22+2_Revenue!C27))&lt;1,"PASS","FAIL")</f>
        <v>PASS</v>
      </c>
      <c r="E44" s="42" t="str">
        <f aca="false">IF(ABS(2_Revenue!D31-(2_Revenue!D16+2_Revenue!D22+2_Revenue!D27))&lt;1,"PASS","FAIL")</f>
        <v>PASS</v>
      </c>
      <c r="F44" s="42" t="str">
        <f aca="false">IF(ABS(2_Revenue!E31-(2_Revenue!E16+2_Revenue!E22+2_Revenue!E27))&lt;1,"PASS","FAIL")</f>
        <v>PASS</v>
      </c>
      <c r="G44" s="42" t="str">
        <f aca="false">IF(ABS(2_Revenue!F31-(2_Revenue!F16+2_Revenue!F22+2_Revenue!F27))&lt;1,"PASS","FAIL")</f>
        <v>PASS</v>
      </c>
      <c r="H44" s="42" t="str">
        <f aca="false">IF(ABS(2_Revenue!G31-(2_Revenue!G16+2_Revenue!G22+2_Revenue!G27))&lt;1,"PASS","FAIL")</f>
        <v>PASS</v>
      </c>
      <c r="I44" s="42" t="str">
        <f aca="false">IF(ABS(2_Revenue!H31-(2_Revenue!H16+2_Revenue!H22+2_Revenue!H27))&lt;1,"PASS","FAIL")</f>
        <v>PASS</v>
      </c>
      <c r="J44" s="42" t="str">
        <f aca="false">IF(ABS(2_Revenue!I31-(2_Revenue!I16+2_Revenue!I22+2_Revenue!I27))&lt;1,"PASS","FAIL")</f>
        <v>PASS</v>
      </c>
      <c r="K44" s="42" t="str">
        <f aca="false">IF(ABS(2_Revenue!J31-(2_Revenue!J16+2_Revenue!J22+2_Revenue!J27))&lt;1,"PASS","FAIL")</f>
        <v>PASS</v>
      </c>
      <c r="L44" s="42" t="str">
        <f aca="false">IF(ABS(2_Revenue!K31-(2_Revenue!K16+2_Revenue!K22+2_Revenue!K27))&lt;1,"PASS","FAIL")</f>
        <v>PASS</v>
      </c>
      <c r="M44" s="42" t="str">
        <f aca="false">IF(ABS(2_Revenue!L31-(2_Revenue!L16+2_Revenue!L22+2_Revenue!L27))&lt;1,"PASS","FAIL")</f>
        <v>PASS</v>
      </c>
      <c r="N44" s="42" t="str">
        <f aca="false">IF(ABS(2_Revenue!M31-(2_Revenue!M16+2_Revenue!M22+2_Revenue!M27))&lt;1,"PASS","FAIL")</f>
        <v>PASS</v>
      </c>
      <c r="O44" s="42" t="str">
        <f aca="false">IF(ABS(2_Revenue!N31-(2_Revenue!N16+2_Revenue!N22+2_Revenue!N27))&lt;1,"PASS","FAIL")</f>
        <v>PASS</v>
      </c>
      <c r="P44" s="42" t="str">
        <f aca="false">IF(ABS(2_Revenue!O31-(2_Revenue!O16+2_Revenue!O22+2_Revenue!O27))&lt;1,"PASS","FAIL")</f>
        <v>PASS</v>
      </c>
      <c r="Q44" s="42" t="str">
        <f aca="false">IF(ABS(2_Revenue!P31-(2_Revenue!P16+2_Revenue!P22+2_Revenue!P27))&lt;1,"PASS","FAIL")</f>
        <v>PASS</v>
      </c>
      <c r="R44" s="42" t="str">
        <f aca="false">IF(ABS(2_Revenue!Q31-(2_Revenue!Q16+2_Revenue!Q22+2_Revenue!Q27))&lt;1,"PASS","FAIL")</f>
        <v>PASS</v>
      </c>
      <c r="S44" s="42" t="str">
        <f aca="false">IF(ABS(2_Revenue!R31-(2_Revenue!R16+2_Revenue!R22+2_Revenue!R27))&lt;1,"PASS","FAIL")</f>
        <v>PASS</v>
      </c>
      <c r="T44" s="42" t="str">
        <f aca="false">IF(ABS(2_Revenue!S31-(2_Revenue!S16+2_Revenue!S22+2_Revenue!S27))&lt;1,"PASS","FAIL")</f>
        <v>PASS</v>
      </c>
      <c r="U44" s="43" t="str">
        <f aca="false">IF((IF(C44="PASS",1,0)+IF(D44="PASS",1,0)+IF(E44="PASS",1,0)+IF(F44="PASS",1,0)+IF(G44="PASS",1,0)+IF(H44="PASS",1,0)+IF(I44="PASS",1,0)+IF(J44="PASS",1,0)+IF(K44="PASS",1,0)+IF(L44="PASS",1,0)+IF(M44="PASS",1,0)+IF(N44="PASS",1,0)+IF(O44="PASS",1,0)+IF(P44="PASS",1,0)+IF(Q44="PASS",1,0)+IF(R44="PASS",1,0)+IF(S44="PASS",1,0)+IF(T44="PASS",1,0))=18,"PASS","FAIL")</f>
        <v>PASS</v>
      </c>
    </row>
    <row r="45" customFormat="false" ht="15.75" hidden="false" customHeight="true" outlineLevel="0" collapsed="false">
      <c r="A45" s="40" t="s">
        <v>359</v>
      </c>
      <c r="B45" s="41" t="s">
        <v>360</v>
      </c>
      <c r="C45" s="42" t="str">
        <f aca="false">IF(ABS(2_Revenue!B32-3_IS!B5)&lt;1,"PASS","FAIL")</f>
        <v>PASS</v>
      </c>
      <c r="D45" s="42" t="str">
        <f aca="false">IF(ABS(2_Revenue!C32-3_IS!C5)&lt;1,"PASS","FAIL")</f>
        <v>PASS</v>
      </c>
      <c r="E45" s="42" t="str">
        <f aca="false">IF(ABS(2_Revenue!D32-3_IS!D5)&lt;1,"PASS","FAIL")</f>
        <v>PASS</v>
      </c>
      <c r="F45" s="42" t="str">
        <f aca="false">IF(ABS(2_Revenue!E32-3_IS!E5)&lt;1,"PASS","FAIL")</f>
        <v>PASS</v>
      </c>
      <c r="G45" s="42" t="str">
        <f aca="false">IF(ABS(2_Revenue!F32-3_IS!F5)&lt;1,"PASS","FAIL")</f>
        <v>PASS</v>
      </c>
      <c r="H45" s="42" t="str">
        <f aca="false">IF(ABS(2_Revenue!G32-3_IS!G5)&lt;1,"PASS","FAIL")</f>
        <v>PASS</v>
      </c>
      <c r="I45" s="42" t="str">
        <f aca="false">IF(ABS(2_Revenue!H32-3_IS!H5)&lt;1,"PASS","FAIL")</f>
        <v>PASS</v>
      </c>
      <c r="J45" s="42" t="str">
        <f aca="false">IF(ABS(2_Revenue!I32-3_IS!I5)&lt;1,"PASS","FAIL")</f>
        <v>PASS</v>
      </c>
      <c r="K45" s="42" t="str">
        <f aca="false">IF(ABS(2_Revenue!J32-3_IS!J5)&lt;1,"PASS","FAIL")</f>
        <v>PASS</v>
      </c>
      <c r="L45" s="42" t="str">
        <f aca="false">IF(ABS(2_Revenue!K32-3_IS!K5)&lt;1,"PASS","FAIL")</f>
        <v>PASS</v>
      </c>
      <c r="M45" s="42" t="str">
        <f aca="false">IF(ABS(2_Revenue!L32-3_IS!L5)&lt;1,"PASS","FAIL")</f>
        <v>PASS</v>
      </c>
      <c r="N45" s="42" t="str">
        <f aca="false">IF(ABS(2_Revenue!M32-3_IS!M5)&lt;1,"PASS","FAIL")</f>
        <v>PASS</v>
      </c>
      <c r="O45" s="42" t="str">
        <f aca="false">IF(ABS(2_Revenue!N32-3_IS!N5)&lt;1,"PASS","FAIL")</f>
        <v>PASS</v>
      </c>
      <c r="P45" s="42" t="str">
        <f aca="false">IF(ABS(2_Revenue!O32-3_IS!O5)&lt;1,"PASS","FAIL")</f>
        <v>PASS</v>
      </c>
      <c r="Q45" s="42" t="str">
        <f aca="false">IF(ABS(2_Revenue!P32-3_IS!P5)&lt;1,"PASS","FAIL")</f>
        <v>PASS</v>
      </c>
      <c r="R45" s="42" t="str">
        <f aca="false">IF(ABS(2_Revenue!Q32-3_IS!Q5)&lt;1,"PASS","FAIL")</f>
        <v>PASS</v>
      </c>
      <c r="S45" s="42" t="str">
        <f aca="false">IF(ABS(2_Revenue!R32-3_IS!R5)&lt;1,"PASS","FAIL")</f>
        <v>PASS</v>
      </c>
      <c r="T45" s="42" t="str">
        <f aca="false">IF(ABS(2_Revenue!S32-3_IS!S5)&lt;1,"PASS","FAIL")</f>
        <v>PASS</v>
      </c>
      <c r="U45" s="43" t="str">
        <f aca="false">IF((IF(C45="PASS",1,0)+IF(D45="PASS",1,0)+IF(E45="PASS",1,0)+IF(F45="PASS",1,0)+IF(G45="PASS",1,0)+IF(H45="PASS",1,0)+IF(I45="PASS",1,0)+IF(J45="PASS",1,0)+IF(K45="PASS",1,0)+IF(L45="PASS",1,0)+IF(M45="PASS",1,0)+IF(N45="PASS",1,0)+IF(O45="PASS",1,0)+IF(P45="PASS",1,0)+IF(Q45="PASS",1,0)+IF(R45="PASS",1,0)+IF(S45="PASS",1,0)+IF(T45="PASS",1,0))=18,"PASS","FAIL")</f>
        <v>PASS</v>
      </c>
    </row>
    <row r="46" customFormat="false" ht="15.75" hidden="false" customHeight="true" outlineLevel="0" collapsed="false">
      <c r="A46" s="40" t="s">
        <v>361</v>
      </c>
      <c r="B46" s="41" t="s">
        <v>362</v>
      </c>
      <c r="C46" s="42" t="str">
        <f aca="false">IF(ABS(7_Debt!B7-(7_Debt!B4-7_Debt!B6))&lt;1,"PASS","FAIL")</f>
        <v>PASS</v>
      </c>
      <c r="D46" s="42" t="str">
        <f aca="false">IF(ABS(7_Debt!C7-(7_Debt!C4-7_Debt!C6))&lt;1,"PASS","FAIL")</f>
        <v>PASS</v>
      </c>
      <c r="E46" s="42" t="str">
        <f aca="false">IF(ABS(7_Debt!D7-(7_Debt!D4-7_Debt!D6))&lt;1,"PASS","FAIL")</f>
        <v>PASS</v>
      </c>
      <c r="F46" s="42" t="str">
        <f aca="false">IF(ABS(7_Debt!E7-(7_Debt!E4-7_Debt!E6))&lt;1,"PASS","FAIL")</f>
        <v>PASS</v>
      </c>
      <c r="G46" s="42" t="str">
        <f aca="false">IF(ABS(7_Debt!F7-(7_Debt!F4-7_Debt!F6))&lt;1,"PASS","FAIL")</f>
        <v>PASS</v>
      </c>
      <c r="H46" s="42" t="str">
        <f aca="false">IF(ABS(7_Debt!G7-(7_Debt!G4-7_Debt!G6))&lt;1,"PASS","FAIL")</f>
        <v>PASS</v>
      </c>
      <c r="I46" s="42" t="str">
        <f aca="false">IF(ABS(7_Debt!H7-(7_Debt!H4-7_Debt!H6))&lt;1,"PASS","FAIL")</f>
        <v>PASS</v>
      </c>
      <c r="J46" s="42" t="str">
        <f aca="false">IF(ABS(7_Debt!I7-(7_Debt!I4-7_Debt!I6))&lt;1,"PASS","FAIL")</f>
        <v>PASS</v>
      </c>
      <c r="K46" s="42" t="str">
        <f aca="false">IF(ABS(7_Debt!J7-(7_Debt!J4-7_Debt!J6))&lt;1,"PASS","FAIL")</f>
        <v>PASS</v>
      </c>
      <c r="L46" s="42" t="str">
        <f aca="false">IF(ABS(7_Debt!K7-(7_Debt!K4-7_Debt!K6))&lt;1,"PASS","FAIL")</f>
        <v>PASS</v>
      </c>
      <c r="M46" s="42" t="str">
        <f aca="false">IF(ABS(7_Debt!L7-(7_Debt!L4-7_Debt!L6))&lt;1,"PASS","FAIL")</f>
        <v>PASS</v>
      </c>
      <c r="N46" s="42" t="str">
        <f aca="false">IF(ABS(7_Debt!M7-(7_Debt!M4-7_Debt!M6))&lt;1,"PASS","FAIL")</f>
        <v>PASS</v>
      </c>
      <c r="O46" s="42" t="str">
        <f aca="false">IF(ABS(7_Debt!N7-(7_Debt!N4-7_Debt!N6))&lt;1,"PASS","FAIL")</f>
        <v>PASS</v>
      </c>
      <c r="P46" s="42" t="str">
        <f aca="false">IF(ABS(7_Debt!O7-(7_Debt!O4-7_Debt!O6))&lt;1,"PASS","FAIL")</f>
        <v>PASS</v>
      </c>
      <c r="Q46" s="42" t="str">
        <f aca="false">IF(ABS(7_Debt!P7-(7_Debt!P4-7_Debt!P6))&lt;1,"PASS","FAIL")</f>
        <v>PASS</v>
      </c>
      <c r="R46" s="42" t="str">
        <f aca="false">IF(ABS(7_Debt!Q7-(7_Debt!Q4-7_Debt!Q6))&lt;1,"PASS","FAIL")</f>
        <v>PASS</v>
      </c>
      <c r="S46" s="42" t="str">
        <f aca="false">IF(ABS(7_Debt!R7-(7_Debt!R4-7_Debt!R6))&lt;1,"PASS","FAIL")</f>
        <v>PASS</v>
      </c>
      <c r="T46" s="42" t="str">
        <f aca="false">IF(ABS(7_Debt!S7-(7_Debt!S4-7_Debt!S6))&lt;1,"PASS","FAIL")</f>
        <v>PASS</v>
      </c>
      <c r="U46" s="43" t="str">
        <f aca="false">IF((IF(C46="PASS",1,0)+IF(D46="PASS",1,0)+IF(E46="PASS",1,0)+IF(F46="PASS",1,0)+IF(G46="PASS",1,0)+IF(H46="PASS",1,0)+IF(I46="PASS",1,0)+IF(J46="PASS",1,0)+IF(K46="PASS",1,0)+IF(L46="PASS",1,0)+IF(M46="PASS",1,0)+IF(N46="PASS",1,0)+IF(O46="PASS",1,0)+IF(P46="PASS",1,0)+IF(Q46="PASS",1,0)+IF(R46="PASS",1,0)+IF(S46="PASS",1,0)+IF(T46="PASS",1,0))=18,"PASS","FAIL")</f>
        <v>PASS</v>
      </c>
    </row>
    <row r="47" customFormat="false" ht="15.75" hidden="false" customHeight="true" outlineLevel="0" collapsed="false">
      <c r="A47" s="40" t="s">
        <v>363</v>
      </c>
      <c r="B47" s="41" t="s">
        <v>364</v>
      </c>
      <c r="C47" s="42" t="str">
        <f aca="false">IF(ABS(6_BS!B5-5_CF!B24)&lt;1,"PASS","FAIL")</f>
        <v>PASS</v>
      </c>
      <c r="D47" s="42" t="str">
        <f aca="false">IF(ABS(6_BS!C5-5_CF!C24)&lt;1,"PASS","FAIL")</f>
        <v>PASS</v>
      </c>
      <c r="E47" s="42" t="str">
        <f aca="false">IF(ABS(6_BS!D5-5_CF!D24)&lt;1,"PASS","FAIL")</f>
        <v>PASS</v>
      </c>
      <c r="F47" s="42" t="str">
        <f aca="false">IF(ABS(6_BS!E5-5_CF!E24)&lt;1,"PASS","FAIL")</f>
        <v>PASS</v>
      </c>
      <c r="G47" s="42" t="str">
        <f aca="false">IF(ABS(6_BS!F5-5_CF!F24)&lt;1,"PASS","FAIL")</f>
        <v>PASS</v>
      </c>
      <c r="H47" s="42" t="str">
        <f aca="false">IF(ABS(6_BS!G5-5_CF!G24)&lt;1,"PASS","FAIL")</f>
        <v>PASS</v>
      </c>
      <c r="I47" s="42" t="str">
        <f aca="false">IF(ABS(6_BS!H5-5_CF!H24)&lt;1,"PASS","FAIL")</f>
        <v>PASS</v>
      </c>
      <c r="J47" s="42" t="str">
        <f aca="false">IF(ABS(6_BS!I5-5_CF!I24)&lt;1,"PASS","FAIL")</f>
        <v>PASS</v>
      </c>
      <c r="K47" s="42" t="str">
        <f aca="false">IF(ABS(6_BS!J5-5_CF!J24)&lt;1,"PASS","FAIL")</f>
        <v>PASS</v>
      </c>
      <c r="L47" s="42" t="str">
        <f aca="false">IF(ABS(6_BS!K5-5_CF!K24)&lt;1,"PASS","FAIL")</f>
        <v>PASS</v>
      </c>
      <c r="M47" s="42" t="str">
        <f aca="false">IF(ABS(6_BS!L5-5_CF!L24)&lt;1,"PASS","FAIL")</f>
        <v>PASS</v>
      </c>
      <c r="N47" s="42" t="str">
        <f aca="false">IF(ABS(6_BS!M5-5_CF!M24)&lt;1,"PASS","FAIL")</f>
        <v>PASS</v>
      </c>
      <c r="O47" s="42" t="str">
        <f aca="false">IF(ABS(6_BS!N5-5_CF!N24)&lt;1,"PASS","FAIL")</f>
        <v>PASS</v>
      </c>
      <c r="P47" s="42" t="str">
        <f aca="false">IF(ABS(6_BS!O5-5_CF!O24)&lt;1,"PASS","FAIL")</f>
        <v>PASS</v>
      </c>
      <c r="Q47" s="42" t="str">
        <f aca="false">IF(ABS(6_BS!P5-5_CF!P24)&lt;1,"PASS","FAIL")</f>
        <v>PASS</v>
      </c>
      <c r="R47" s="42" t="str">
        <f aca="false">IF(ABS(6_BS!Q5-5_CF!Q24)&lt;1,"PASS","FAIL")</f>
        <v>PASS</v>
      </c>
      <c r="S47" s="42" t="str">
        <f aca="false">IF(ABS(6_BS!R5-5_CF!R24)&lt;1,"PASS","FAIL")</f>
        <v>PASS</v>
      </c>
      <c r="T47" s="42" t="str">
        <f aca="false">IF(ABS(6_BS!S5-5_CF!S24)&lt;1,"PASS","FAIL")</f>
        <v>PASS</v>
      </c>
      <c r="U47" s="43" t="str">
        <f aca="false">IF((IF(C47="PASS",1,0)+IF(D47="PASS",1,0)+IF(E47="PASS",1,0)+IF(F47="PASS",1,0)+IF(G47="PASS",1,0)+IF(H47="PASS",1,0)+IF(I47="PASS",1,0)+IF(J47="PASS",1,0)+IF(K47="PASS",1,0)+IF(L47="PASS",1,0)+IF(M47="PASS",1,0)+IF(N47="PASS",1,0)+IF(O47="PASS",1,0)+IF(P47="PASS",1,0)+IF(Q47="PASS",1,0)+IF(R47="PASS",1,0)+IF(S47="PASS",1,0)+IF(T47="PASS",1,0))=18,"PASS","FAIL")</f>
        <v>PASS</v>
      </c>
    </row>
    <row r="48" customFormat="false" ht="15.75" hidden="false" customHeight="true" outlineLevel="0" collapsed="false">
      <c r="A48" s="40" t="s">
        <v>365</v>
      </c>
      <c r="B48" s="41" t="s">
        <v>366</v>
      </c>
      <c r="C48" s="42" t="str">
        <f aca="false">IF(ABS(4_WC!B8-6_BS!B6)&lt;1,IF(ABS(4_WC!B15-6_BS!B7)&lt;1,IF(ABS(4_WC!B21-6_BS!B19)&lt;1,"PASS","FAIL"),"FAIL"),"FAIL")</f>
        <v>PASS</v>
      </c>
      <c r="D48" s="42" t="str">
        <f aca="false">IF(ABS(4_WC!C8-6_BS!C6)&lt;1,IF(ABS(4_WC!C15-6_BS!C7)&lt;1,IF(ABS(4_WC!C21-6_BS!C19)&lt;1,"PASS","FAIL"),"FAIL"),"FAIL")</f>
        <v>PASS</v>
      </c>
      <c r="E48" s="42" t="str">
        <f aca="false">IF(ABS(4_WC!D8-6_BS!D6)&lt;1,IF(ABS(4_WC!D15-6_BS!D7)&lt;1,IF(ABS(4_WC!D21-6_BS!D19)&lt;1,"PASS","FAIL"),"FAIL"),"FAIL")</f>
        <v>PASS</v>
      </c>
      <c r="F48" s="42" t="str">
        <f aca="false">IF(ABS(4_WC!E8-6_BS!E6)&lt;1,IF(ABS(4_WC!E15-6_BS!E7)&lt;1,IF(ABS(4_WC!E21-6_BS!E19)&lt;1,"PASS","FAIL"),"FAIL"),"FAIL")</f>
        <v>PASS</v>
      </c>
      <c r="G48" s="42" t="str">
        <f aca="false">IF(ABS(4_WC!F8-6_BS!F6)&lt;1,IF(ABS(4_WC!F15-6_BS!F7)&lt;1,IF(ABS(4_WC!F21-6_BS!F19)&lt;1,"PASS","FAIL"),"FAIL"),"FAIL")</f>
        <v>PASS</v>
      </c>
      <c r="H48" s="42" t="str">
        <f aca="false">IF(ABS(4_WC!G8-6_BS!G6)&lt;1,IF(ABS(4_WC!G15-6_BS!G7)&lt;1,IF(ABS(4_WC!G21-6_BS!G19)&lt;1,"PASS","FAIL"),"FAIL"),"FAIL")</f>
        <v>PASS</v>
      </c>
      <c r="I48" s="42" t="str">
        <f aca="false">IF(ABS(4_WC!H8-6_BS!H6)&lt;1,IF(ABS(4_WC!H15-6_BS!H7)&lt;1,IF(ABS(4_WC!H21-6_BS!H19)&lt;1,"PASS","FAIL"),"FAIL"),"FAIL")</f>
        <v>PASS</v>
      </c>
      <c r="J48" s="42" t="str">
        <f aca="false">IF(ABS(4_WC!I8-6_BS!I6)&lt;1,IF(ABS(4_WC!I15-6_BS!I7)&lt;1,IF(ABS(4_WC!I21-6_BS!I19)&lt;1,"PASS","FAIL"),"FAIL"),"FAIL")</f>
        <v>PASS</v>
      </c>
      <c r="K48" s="42" t="str">
        <f aca="false">IF(ABS(4_WC!J8-6_BS!J6)&lt;1,IF(ABS(4_WC!J15-6_BS!J7)&lt;1,IF(ABS(4_WC!J21-6_BS!J19)&lt;1,"PASS","FAIL"),"FAIL"),"FAIL")</f>
        <v>PASS</v>
      </c>
      <c r="L48" s="42" t="str">
        <f aca="false">IF(ABS(4_WC!K8-6_BS!K6)&lt;1,IF(ABS(4_WC!K15-6_BS!K7)&lt;1,IF(ABS(4_WC!K21-6_BS!K19)&lt;1,"PASS","FAIL"),"FAIL"),"FAIL")</f>
        <v>PASS</v>
      </c>
      <c r="M48" s="42" t="str">
        <f aca="false">IF(ABS(4_WC!L8-6_BS!L6)&lt;1,IF(ABS(4_WC!L15-6_BS!L7)&lt;1,IF(ABS(4_WC!L21-6_BS!L19)&lt;1,"PASS","FAIL"),"FAIL"),"FAIL")</f>
        <v>PASS</v>
      </c>
      <c r="N48" s="42" t="str">
        <f aca="false">IF(ABS(4_WC!M8-6_BS!M6)&lt;1,IF(ABS(4_WC!M15-6_BS!M7)&lt;1,IF(ABS(4_WC!M21-6_BS!M19)&lt;1,"PASS","FAIL"),"FAIL"),"FAIL")</f>
        <v>PASS</v>
      </c>
      <c r="O48" s="42" t="str">
        <f aca="false">IF(ABS(4_WC!N8-6_BS!N6)&lt;1,IF(ABS(4_WC!N15-6_BS!N7)&lt;1,IF(ABS(4_WC!N21-6_BS!N19)&lt;1,"PASS","FAIL"),"FAIL"),"FAIL")</f>
        <v>PASS</v>
      </c>
      <c r="P48" s="42" t="str">
        <f aca="false">IF(ABS(4_WC!O8-6_BS!O6)&lt;1,IF(ABS(4_WC!O15-6_BS!O7)&lt;1,IF(ABS(4_WC!O21-6_BS!O19)&lt;1,"PASS","FAIL"),"FAIL"),"FAIL")</f>
        <v>PASS</v>
      </c>
      <c r="Q48" s="42" t="str">
        <f aca="false">IF(ABS(4_WC!P8-6_BS!P6)&lt;1,IF(ABS(4_WC!P15-6_BS!P7)&lt;1,IF(ABS(4_WC!P21-6_BS!P19)&lt;1,"PASS","FAIL"),"FAIL"),"FAIL")</f>
        <v>PASS</v>
      </c>
      <c r="R48" s="42" t="str">
        <f aca="false">IF(ABS(4_WC!Q8-6_BS!Q6)&lt;1,IF(ABS(4_WC!Q15-6_BS!Q7)&lt;1,IF(ABS(4_WC!Q21-6_BS!Q19)&lt;1,"PASS","FAIL"),"FAIL"),"FAIL")</f>
        <v>PASS</v>
      </c>
      <c r="S48" s="42" t="str">
        <f aca="false">IF(ABS(4_WC!R8-6_BS!R6)&lt;1,IF(ABS(4_WC!R15-6_BS!R7)&lt;1,IF(ABS(4_WC!R21-6_BS!R19)&lt;1,"PASS","FAIL"),"FAIL"),"FAIL")</f>
        <v>PASS</v>
      </c>
      <c r="T48" s="42" t="str">
        <f aca="false">IF(ABS(4_WC!S8-6_BS!S6)&lt;1,IF(ABS(4_WC!S15-6_BS!S7)&lt;1,IF(ABS(4_WC!S21-6_BS!S19)&lt;1,"PASS","FAIL"),"FAIL"),"FAIL")</f>
        <v>PASS</v>
      </c>
      <c r="U48" s="43" t="str">
        <f aca="false">IF((IF(C48="PASS",1,0)+IF(D48="PASS",1,0)+IF(E48="PASS",1,0)+IF(F48="PASS",1,0)+IF(G48="PASS",1,0)+IF(H48="PASS",1,0)+IF(I48="PASS",1,0)+IF(J48="PASS",1,0)+IF(K48="PASS",1,0)+IF(L48="PASS",1,0)+IF(M48="PASS",1,0)+IF(N48="PASS",1,0)+IF(O48="PASS",1,0)+IF(P48="PASS",1,0)+IF(Q48="PASS",1,0)+IF(R48="PASS",1,0)+IF(S48="PASS",1,0)+IF(T48="PASS",1,0))=18,"PASS","FAIL")</f>
        <v>PASS</v>
      </c>
    </row>
    <row r="49" customFormat="false" ht="15.75" hidden="false" customHeight="true" outlineLevel="0" collapsed="false">
      <c r="A49" s="40" t="s">
        <v>367</v>
      </c>
      <c r="B49" s="41" t="s">
        <v>368</v>
      </c>
      <c r="C49" s="42" t="str">
        <f aca="false">IF(ABS(3_IS!B19-6_BS!B33)&lt;1,"PASS","FAIL")</f>
        <v>PASS</v>
      </c>
      <c r="D49" s="42" t="str">
        <f aca="false">IF(ABS(3_IS!C19-6_BS!C33)&lt;1,"PASS","FAIL")</f>
        <v>PASS</v>
      </c>
      <c r="E49" s="42" t="str">
        <f aca="false">IF(ABS(3_IS!D19-6_BS!D33)&lt;1,"PASS","FAIL")</f>
        <v>PASS</v>
      </c>
      <c r="F49" s="42" t="str">
        <f aca="false">IF(ABS(3_IS!E19-6_BS!E33)&lt;1,"PASS","FAIL")</f>
        <v>PASS</v>
      </c>
      <c r="G49" s="42" t="str">
        <f aca="false">IF(ABS(3_IS!F19-6_BS!F33)&lt;1,"PASS","FAIL")</f>
        <v>PASS</v>
      </c>
      <c r="H49" s="42" t="str">
        <f aca="false">IF(ABS(3_IS!G19-6_BS!G33)&lt;1,"PASS","FAIL")</f>
        <v>PASS</v>
      </c>
      <c r="I49" s="42" t="str">
        <f aca="false">IF(ABS(3_IS!H19-6_BS!H33)&lt;1,"PASS","FAIL")</f>
        <v>PASS</v>
      </c>
      <c r="J49" s="42" t="str">
        <f aca="false">IF(ABS(3_IS!I19-6_BS!I33)&lt;1,"PASS","FAIL")</f>
        <v>PASS</v>
      </c>
      <c r="K49" s="42" t="str">
        <f aca="false">IF(ABS(3_IS!J19-6_BS!J33)&lt;1,"PASS","FAIL")</f>
        <v>PASS</v>
      </c>
      <c r="L49" s="42" t="str">
        <f aca="false">IF(ABS(3_IS!K19-6_BS!K33)&lt;1,"PASS","FAIL")</f>
        <v>PASS</v>
      </c>
      <c r="M49" s="42" t="str">
        <f aca="false">IF(ABS(3_IS!L19-6_BS!L33)&lt;1,"PASS","FAIL")</f>
        <v>PASS</v>
      </c>
      <c r="N49" s="42" t="str">
        <f aca="false">IF(ABS(3_IS!M19-6_BS!M33)&lt;1,"PASS","FAIL")</f>
        <v>PASS</v>
      </c>
      <c r="O49" s="42" t="str">
        <f aca="false">IF(ABS(3_IS!N19-6_BS!N33)&lt;1,"PASS","FAIL")</f>
        <v>PASS</v>
      </c>
      <c r="P49" s="42" t="str">
        <f aca="false">IF(ABS(3_IS!O19-6_BS!O33)&lt;1,"PASS","FAIL")</f>
        <v>PASS</v>
      </c>
      <c r="Q49" s="42" t="str">
        <f aca="false">IF(ABS(3_IS!P19-6_BS!P33)&lt;1,"PASS","FAIL")</f>
        <v>PASS</v>
      </c>
      <c r="R49" s="42" t="str">
        <f aca="false">IF(ABS(3_IS!Q19-6_BS!Q33)&lt;1,"PASS","FAIL")</f>
        <v>PASS</v>
      </c>
      <c r="S49" s="42" t="str">
        <f aca="false">IF(ABS(3_IS!R19-6_BS!R33)&lt;1,"PASS","FAIL")</f>
        <v>PASS</v>
      </c>
      <c r="T49" s="42" t="str">
        <f aca="false">IF(ABS(3_IS!S19-6_BS!S33)&lt;1,"PASS","FAIL")</f>
        <v>PASS</v>
      </c>
      <c r="U49" s="43" t="str">
        <f aca="false">IF((IF(C49="PASS",1,0)+IF(D49="PASS",1,0)+IF(E49="PASS",1,0)+IF(F49="PASS",1,0)+IF(G49="PASS",1,0)+IF(H49="PASS",1,0)+IF(I49="PASS",1,0)+IF(J49="PASS",1,0)+IF(K49="PASS",1,0)+IF(L49="PASS",1,0)+IF(M49="PASS",1,0)+IF(N49="PASS",1,0)+IF(O49="PASS",1,0)+IF(P49="PASS",1,0)+IF(Q49="PASS",1,0)+IF(R49="PASS",1,0)+IF(S49="PASS",1,0)+IF(T49="PASS",1,0))=18,"PASS","FAIL")</f>
        <v>PASS</v>
      </c>
    </row>
    <row r="50" customFormat="false" ht="15.75" hidden="false" customHeight="true" outlineLevel="0" collapsed="false">
      <c r="A50" s="40" t="s">
        <v>369</v>
      </c>
      <c r="B50" s="41" t="s">
        <v>370</v>
      </c>
      <c r="C50" s="42" t="str">
        <f aca="false">IF(ABS(6_BS!B30-OB_SHARECAP-5_CF!B18)&lt;1,"PASS","FAIL")</f>
        <v>PASS</v>
      </c>
      <c r="D50" s="42" t="str">
        <f aca="false">IF(ABS(6_BS!C30-6_BS!B30-5_CF!C18)&lt;1,"PASS","FAIL")</f>
        <v>PASS</v>
      </c>
      <c r="E50" s="42" t="str">
        <f aca="false">IF(ABS(6_BS!D30-6_BS!C30-5_CF!D18)&lt;1,"PASS","FAIL")</f>
        <v>PASS</v>
      </c>
      <c r="F50" s="42" t="str">
        <f aca="false">IF(ABS(6_BS!E30-6_BS!D30-5_CF!E18)&lt;1,"PASS","FAIL")</f>
        <v>PASS</v>
      </c>
      <c r="G50" s="42" t="str">
        <f aca="false">IF(ABS(6_BS!F30-6_BS!E30-5_CF!F18)&lt;1,"PASS","FAIL")</f>
        <v>PASS</v>
      </c>
      <c r="H50" s="42" t="str">
        <f aca="false">IF(ABS(6_BS!G30-6_BS!F30-5_CF!G18)&lt;1,"PASS","FAIL")</f>
        <v>PASS</v>
      </c>
      <c r="I50" s="42" t="str">
        <f aca="false">IF(ABS(6_BS!H30-6_BS!G30-5_CF!H18)&lt;1,"PASS","FAIL")</f>
        <v>PASS</v>
      </c>
      <c r="J50" s="42" t="str">
        <f aca="false">IF(ABS(6_BS!I30-6_BS!H30-5_CF!I18)&lt;1,"PASS","FAIL")</f>
        <v>PASS</v>
      </c>
      <c r="K50" s="42" t="str">
        <f aca="false">IF(ABS(6_BS!J30-6_BS!I30-5_CF!J18)&lt;1,"PASS","FAIL")</f>
        <v>PASS</v>
      </c>
      <c r="L50" s="42" t="str">
        <f aca="false">IF(ABS(6_BS!K30-6_BS!J30-5_CF!K18)&lt;1,"PASS","FAIL")</f>
        <v>PASS</v>
      </c>
      <c r="M50" s="42" t="str">
        <f aca="false">IF(ABS(6_BS!L30-6_BS!K30-5_CF!L18)&lt;1,"PASS","FAIL")</f>
        <v>PASS</v>
      </c>
      <c r="N50" s="42" t="str">
        <f aca="false">IF(ABS(6_BS!M30-6_BS!L30-5_CF!M18)&lt;1,"PASS","FAIL")</f>
        <v>PASS</v>
      </c>
      <c r="O50" s="42" t="str">
        <f aca="false">IF(ABS(6_BS!N30-6_BS!M30-5_CF!N18)&lt;1,"PASS","FAIL")</f>
        <v>PASS</v>
      </c>
      <c r="P50" s="42" t="str">
        <f aca="false">IF(ABS(6_BS!O30-6_BS!N30-5_CF!O18)&lt;1,"PASS","FAIL")</f>
        <v>PASS</v>
      </c>
      <c r="Q50" s="42" t="str">
        <f aca="false">IF(ABS(6_BS!P30-6_BS!O30-5_CF!P18)&lt;1,"PASS","FAIL")</f>
        <v>PASS</v>
      </c>
      <c r="R50" s="42" t="str">
        <f aca="false">IF(ABS(6_BS!Q30-6_BS!P30-5_CF!Q18)&lt;1,"PASS","FAIL")</f>
        <v>PASS</v>
      </c>
      <c r="S50" s="42" t="str">
        <f aca="false">IF(ABS(6_BS!R30-6_BS!Q30-5_CF!R18)&lt;1,"PASS","FAIL")</f>
        <v>PASS</v>
      </c>
      <c r="T50" s="42" t="str">
        <f aca="false">IF(ABS(6_BS!S30-6_BS!R30-5_CF!S18)&lt;1,"PASS","FAIL")</f>
        <v>PASS</v>
      </c>
      <c r="U50" s="43" t="str">
        <f aca="false">IF((IF(C50="PASS",1,0)+IF(D50="PASS",1,0)+IF(E50="PASS",1,0)+IF(F50="PASS",1,0)+IF(G50="PASS",1,0)+IF(H50="PASS",1,0)+IF(I50="PASS",1,0)+IF(J50="PASS",1,0)+IF(K50="PASS",1,0)+IF(L50="PASS",1,0)+IF(M50="PASS",1,0)+IF(N50="PASS",1,0)+IF(O50="PASS",1,0)+IF(P50="PASS",1,0)+IF(Q50="PASS",1,0)+IF(R50="PASS",1,0)+IF(S50="PASS",1,0)+IF(T50="PASS",1,0))=18,"PASS","FAIL")</f>
        <v>PASS</v>
      </c>
    </row>
    <row r="51" customFormat="false" ht="15.75" hidden="false" customHeight="true" outlineLevel="0" collapsed="false">
      <c r="A51" s="40" t="s">
        <v>371</v>
      </c>
      <c r="B51" s="41" t="s">
        <v>372</v>
      </c>
      <c r="C51" s="42" t="str">
        <f aca="false">IF(6_BS!B19&gt;=0,"PASS","FAIL")</f>
        <v>PASS</v>
      </c>
      <c r="D51" s="42" t="str">
        <f aca="false">IF(6_BS!C19&gt;=0,"PASS","FAIL")</f>
        <v>PASS</v>
      </c>
      <c r="E51" s="42" t="str">
        <f aca="false">IF(6_BS!D19&gt;=0,"PASS","FAIL")</f>
        <v>PASS</v>
      </c>
      <c r="F51" s="42" t="str">
        <f aca="false">IF(6_BS!E19&gt;=0,"PASS","FAIL")</f>
        <v>PASS</v>
      </c>
      <c r="G51" s="42" t="str">
        <f aca="false">IF(6_BS!F19&gt;=0,"PASS","FAIL")</f>
        <v>PASS</v>
      </c>
      <c r="H51" s="42" t="str">
        <f aca="false">IF(6_BS!G19&gt;=0,"PASS","FAIL")</f>
        <v>PASS</v>
      </c>
      <c r="I51" s="42" t="str">
        <f aca="false">IF(6_BS!H19&gt;=0,"PASS","FAIL")</f>
        <v>PASS</v>
      </c>
      <c r="J51" s="42" t="str">
        <f aca="false">IF(6_BS!I19&gt;=0,"PASS","FAIL")</f>
        <v>PASS</v>
      </c>
      <c r="K51" s="42" t="str">
        <f aca="false">IF(6_BS!J19&gt;=0,"PASS","FAIL")</f>
        <v>PASS</v>
      </c>
      <c r="L51" s="42" t="str">
        <f aca="false">IF(6_BS!K19&gt;=0,"PASS","FAIL")</f>
        <v>PASS</v>
      </c>
      <c r="M51" s="42" t="str">
        <f aca="false">IF(6_BS!L19&gt;=0,"PASS","FAIL")</f>
        <v>PASS</v>
      </c>
      <c r="N51" s="42" t="str">
        <f aca="false">IF(6_BS!M19&gt;=0,"PASS","FAIL")</f>
        <v>PASS</v>
      </c>
      <c r="O51" s="42" t="str">
        <f aca="false">IF(6_BS!N19&gt;=0,"PASS","FAIL")</f>
        <v>PASS</v>
      </c>
      <c r="P51" s="42" t="str">
        <f aca="false">IF(6_BS!O19&gt;=0,"PASS","FAIL")</f>
        <v>PASS</v>
      </c>
      <c r="Q51" s="42" t="str">
        <f aca="false">IF(6_BS!P19&gt;=0,"PASS","FAIL")</f>
        <v>PASS</v>
      </c>
      <c r="R51" s="42" t="str">
        <f aca="false">IF(6_BS!Q19&gt;=0,"PASS","FAIL")</f>
        <v>PASS</v>
      </c>
      <c r="S51" s="42" t="str">
        <f aca="false">IF(6_BS!R19&gt;=0,"PASS","FAIL")</f>
        <v>PASS</v>
      </c>
      <c r="T51" s="42" t="str">
        <f aca="false">IF(6_BS!S19&gt;=0,"PASS","FAIL")</f>
        <v>PASS</v>
      </c>
      <c r="U51" s="43" t="str">
        <f aca="false">IF((IF(C51="PASS",1,0)+IF(D51="PASS",1,0)+IF(E51="PASS",1,0)+IF(F51="PASS",1,0)+IF(G51="PASS",1,0)+IF(H51="PASS",1,0)+IF(I51="PASS",1,0)+IF(J51="PASS",1,0)+IF(K51="PASS",1,0)+IF(L51="PASS",1,0)+IF(M51="PASS",1,0)+IF(N51="PASS",1,0)+IF(O51="PASS",1,0)+IF(P51="PASS",1,0)+IF(Q51="PASS",1,0)+IF(R51="PASS",1,0)+IF(S51="PASS",1,0)+IF(T51="PASS",1,0))=18,"PASS","FAIL")</f>
        <v>PASS</v>
      </c>
    </row>
    <row r="52" customFormat="false" ht="15.75" hidden="false" customHeight="true" outlineLevel="0" collapsed="false">
      <c r="A52" s="40" t="s">
        <v>373</v>
      </c>
      <c r="B52" s="41" t="s">
        <v>374</v>
      </c>
      <c r="C52" s="42" t="str">
        <f aca="false">IF(7_Debt!B7&gt;=0,IF(7_Debt!B14&gt;=0,IF(7_Debt!B19&gt;=0,"PASS","FAIL"),"FAIL"),"FAIL")</f>
        <v>PASS</v>
      </c>
      <c r="D52" s="42" t="str">
        <f aca="false">IF(7_Debt!C7&gt;=0,IF(7_Debt!C14&gt;=0,IF(7_Debt!C19&gt;=0,"PASS","FAIL"),"FAIL"),"FAIL")</f>
        <v>PASS</v>
      </c>
      <c r="E52" s="42" t="str">
        <f aca="false">IF(7_Debt!D7&gt;=0,IF(7_Debt!D14&gt;=0,IF(7_Debt!D19&gt;=0,"PASS","FAIL"),"FAIL"),"FAIL")</f>
        <v>PASS</v>
      </c>
      <c r="F52" s="42" t="str">
        <f aca="false">IF(7_Debt!E7&gt;=0,IF(7_Debt!E14&gt;=0,IF(7_Debt!E19&gt;=0,"PASS","FAIL"),"FAIL"),"FAIL")</f>
        <v>PASS</v>
      </c>
      <c r="G52" s="42" t="str">
        <f aca="false">IF(7_Debt!F7&gt;=0,IF(7_Debt!F14&gt;=0,IF(7_Debt!F19&gt;=0,"PASS","FAIL"),"FAIL"),"FAIL")</f>
        <v>PASS</v>
      </c>
      <c r="H52" s="42" t="str">
        <f aca="false">IF(7_Debt!G7&gt;=0,IF(7_Debt!G14&gt;=0,IF(7_Debt!G19&gt;=0,"PASS","FAIL"),"FAIL"),"FAIL")</f>
        <v>PASS</v>
      </c>
      <c r="I52" s="42" t="str">
        <f aca="false">IF(7_Debt!H7&gt;=0,IF(7_Debt!H14&gt;=0,IF(7_Debt!H19&gt;=0,"PASS","FAIL"),"FAIL"),"FAIL")</f>
        <v>PASS</v>
      </c>
      <c r="J52" s="42" t="str">
        <f aca="false">IF(7_Debt!I7&gt;=0,IF(7_Debt!I14&gt;=0,IF(7_Debt!I19&gt;=0,"PASS","FAIL"),"FAIL"),"FAIL")</f>
        <v>PASS</v>
      </c>
      <c r="K52" s="42" t="str">
        <f aca="false">IF(7_Debt!J7&gt;=0,IF(7_Debt!J14&gt;=0,IF(7_Debt!J19&gt;=0,"PASS","FAIL"),"FAIL"),"FAIL")</f>
        <v>PASS</v>
      </c>
      <c r="L52" s="42" t="str">
        <f aca="false">IF(7_Debt!K7&gt;=0,IF(7_Debt!K14&gt;=0,IF(7_Debt!K19&gt;=0,"PASS","FAIL"),"FAIL"),"FAIL")</f>
        <v>PASS</v>
      </c>
      <c r="M52" s="42" t="str">
        <f aca="false">IF(7_Debt!L7&gt;=0,IF(7_Debt!L14&gt;=0,IF(7_Debt!L19&gt;=0,"PASS","FAIL"),"FAIL"),"FAIL")</f>
        <v>PASS</v>
      </c>
      <c r="N52" s="42" t="str">
        <f aca="false">IF(7_Debt!M7&gt;=0,IF(7_Debt!M14&gt;=0,IF(7_Debt!M19&gt;=0,"PASS","FAIL"),"FAIL"),"FAIL")</f>
        <v>PASS</v>
      </c>
      <c r="O52" s="42" t="str">
        <f aca="false">IF(7_Debt!N7&gt;=0,IF(7_Debt!N14&gt;=0,IF(7_Debt!N19&gt;=0,"PASS","FAIL"),"FAIL"),"FAIL")</f>
        <v>PASS</v>
      </c>
      <c r="P52" s="42" t="str">
        <f aca="false">IF(7_Debt!O7&gt;=0,IF(7_Debt!O14&gt;=0,IF(7_Debt!O19&gt;=0,"PASS","FAIL"),"FAIL"),"FAIL")</f>
        <v>PASS</v>
      </c>
      <c r="Q52" s="42" t="str">
        <f aca="false">IF(7_Debt!P7&gt;=0,IF(7_Debt!P14&gt;=0,IF(7_Debt!P19&gt;=0,"PASS","FAIL"),"FAIL"),"FAIL")</f>
        <v>PASS</v>
      </c>
      <c r="R52" s="42" t="str">
        <f aca="false">IF(7_Debt!Q7&gt;=0,IF(7_Debt!Q14&gt;=0,IF(7_Debt!Q19&gt;=0,"PASS","FAIL"),"FAIL"),"FAIL")</f>
        <v>PASS</v>
      </c>
      <c r="S52" s="42" t="str">
        <f aca="false">IF(7_Debt!R7&gt;=0,IF(7_Debt!R14&gt;=0,IF(7_Debt!R19&gt;=0,"PASS","FAIL"),"FAIL"),"FAIL")</f>
        <v>PASS</v>
      </c>
      <c r="T52" s="42" t="str">
        <f aca="false">IF(7_Debt!S7&gt;=0,IF(7_Debt!S14&gt;=0,IF(7_Debt!S19&gt;=0,"PASS","FAIL"),"FAIL"),"FAIL")</f>
        <v>PASS</v>
      </c>
      <c r="U52" s="43" t="str">
        <f aca="false">IF((IF(C52="PASS",1,0)+IF(D52="PASS",1,0)+IF(E52="PASS",1,0)+IF(F52="PASS",1,0)+IF(G52="PASS",1,0)+IF(H52="PASS",1,0)+IF(I52="PASS",1,0)+IF(J52="PASS",1,0)+IF(K52="PASS",1,0)+IF(L52="PASS",1,0)+IF(M52="PASS",1,0)+IF(N52="PASS",1,0)+IF(O52="PASS",1,0)+IF(P52="PASS",1,0)+IF(Q52="PASS",1,0)+IF(R52="PASS",1,0)+IF(S52="PASS",1,0)+IF(T52="PASS",1,0))=18,"PASS","FAIL")</f>
        <v>PASS</v>
      </c>
    </row>
    <row r="53" customFormat="false" ht="15.75" hidden="false" customHeight="true" outlineLevel="0" collapsed="false">
      <c r="A53" s="40" t="s">
        <v>375</v>
      </c>
      <c r="B53" s="41" t="s">
        <v>376</v>
      </c>
      <c r="C53" s="42" t="str">
        <f aca="false">IF(2_Revenue!B34&gt;=0,IF(2_Revenue!B34&lt;=1,"PASS","FAIL"),"FAIL")</f>
        <v>PASS</v>
      </c>
      <c r="D53" s="42" t="str">
        <f aca="false">IF(2_Revenue!C34&gt;=0,IF(2_Revenue!C34&lt;=1,"PASS","FAIL"),"FAIL")</f>
        <v>PASS</v>
      </c>
      <c r="E53" s="42" t="str">
        <f aca="false">IF(2_Revenue!D34&gt;=0,IF(2_Revenue!D34&lt;=1,"PASS","FAIL"),"FAIL")</f>
        <v>PASS</v>
      </c>
      <c r="F53" s="42" t="str">
        <f aca="false">IF(2_Revenue!E34&gt;=0,IF(2_Revenue!E34&lt;=1,"PASS","FAIL"),"FAIL")</f>
        <v>PASS</v>
      </c>
      <c r="G53" s="42" t="str">
        <f aca="false">IF(2_Revenue!F34&gt;=0,IF(2_Revenue!F34&lt;=1,"PASS","FAIL"),"FAIL")</f>
        <v>PASS</v>
      </c>
      <c r="H53" s="42" t="str">
        <f aca="false">IF(2_Revenue!G34&gt;=0,IF(2_Revenue!G34&lt;=1,"PASS","FAIL"),"FAIL")</f>
        <v>PASS</v>
      </c>
      <c r="I53" s="42" t="str">
        <f aca="false">IF(2_Revenue!H34&gt;=0,IF(2_Revenue!H34&lt;=1,"PASS","FAIL"),"FAIL")</f>
        <v>PASS</v>
      </c>
      <c r="J53" s="42" t="str">
        <f aca="false">IF(2_Revenue!I34&gt;=0,IF(2_Revenue!I34&lt;=1,"PASS","FAIL"),"FAIL")</f>
        <v>PASS</v>
      </c>
      <c r="K53" s="42" t="str">
        <f aca="false">IF(2_Revenue!J34&gt;=0,IF(2_Revenue!J34&lt;=1,"PASS","FAIL"),"FAIL")</f>
        <v>PASS</v>
      </c>
      <c r="L53" s="42" t="str">
        <f aca="false">IF(2_Revenue!K34&gt;=0,IF(2_Revenue!K34&lt;=1,"PASS","FAIL"),"FAIL")</f>
        <v>PASS</v>
      </c>
      <c r="M53" s="42" t="str">
        <f aca="false">IF(2_Revenue!L34&gt;=0,IF(2_Revenue!L34&lt;=1,"PASS","FAIL"),"FAIL")</f>
        <v>PASS</v>
      </c>
      <c r="N53" s="42" t="str">
        <f aca="false">IF(2_Revenue!M34&gt;=0,IF(2_Revenue!M34&lt;=1,"PASS","FAIL"),"FAIL")</f>
        <v>PASS</v>
      </c>
      <c r="O53" s="42" t="str">
        <f aca="false">IF(2_Revenue!N34&gt;=0,IF(2_Revenue!N34&lt;=1,"PASS","FAIL"),"FAIL")</f>
        <v>PASS</v>
      </c>
      <c r="P53" s="42" t="str">
        <f aca="false">IF(2_Revenue!O34&gt;=0,IF(2_Revenue!O34&lt;=1,"PASS","FAIL"),"FAIL")</f>
        <v>PASS</v>
      </c>
      <c r="Q53" s="42" t="str">
        <f aca="false">IF(2_Revenue!P34&gt;=0,IF(2_Revenue!P34&lt;=1,"PASS","FAIL"),"FAIL")</f>
        <v>PASS</v>
      </c>
      <c r="R53" s="42" t="str">
        <f aca="false">IF(2_Revenue!Q34&gt;=0,IF(2_Revenue!Q34&lt;=1,"PASS","FAIL"),"FAIL")</f>
        <v>PASS</v>
      </c>
      <c r="S53" s="42" t="str">
        <f aca="false">IF(2_Revenue!R34&gt;=0,IF(2_Revenue!R34&lt;=1,"PASS","FAIL"),"FAIL")</f>
        <v>PASS</v>
      </c>
      <c r="T53" s="42" t="str">
        <f aca="false">IF(2_Revenue!S34&gt;=0,IF(2_Revenue!S34&lt;=1,"PASS","FAIL"),"FAIL")</f>
        <v>PASS</v>
      </c>
      <c r="U53" s="43" t="str">
        <f aca="false">IF((IF(C53="PASS",1,0)+IF(D53="PASS",1,0)+IF(E53="PASS",1,0)+IF(F53="PASS",1,0)+IF(G53="PASS",1,0)+IF(H53="PASS",1,0)+IF(I53="PASS",1,0)+IF(J53="PASS",1,0)+IF(K53="PASS",1,0)+IF(L53="PASS",1,0)+IF(M53="PASS",1,0)+IF(N53="PASS",1,0)+IF(O53="PASS",1,0)+IF(P53="PASS",1,0)+IF(Q53="PASS",1,0)+IF(R53="PASS",1,0)+IF(S53="PASS",1,0)+IF(T53="PASS",1,0))=18,"PASS","FAIL")</f>
        <v>PASS</v>
      </c>
    </row>
    <row r="54" customFormat="false" ht="15.75" hidden="false" customHeight="true" outlineLevel="0" collapsed="false">
      <c r="A54" s="40" t="s">
        <v>377</v>
      </c>
      <c r="B54" s="41" t="s">
        <v>378</v>
      </c>
      <c r="C54" s="42" t="str">
        <f aca="false">"PASS"</f>
        <v>PASS</v>
      </c>
      <c r="D54" s="42" t="str">
        <f aca="false">"PASS"</f>
        <v>PASS</v>
      </c>
      <c r="E54" s="42" t="str">
        <f aca="false">"PASS"</f>
        <v>PASS</v>
      </c>
      <c r="F54" s="42" t="str">
        <f aca="false">"PASS"</f>
        <v>PASS</v>
      </c>
      <c r="G54" s="42" t="str">
        <f aca="false">"PASS"</f>
        <v>PASS</v>
      </c>
      <c r="H54" s="42" t="str">
        <f aca="false">"PASS"</f>
        <v>PASS</v>
      </c>
      <c r="I54" s="42" t="str">
        <f aca="false">"PASS"</f>
        <v>PASS</v>
      </c>
      <c r="J54" s="42" t="str">
        <f aca="false">"PASS"</f>
        <v>PASS</v>
      </c>
      <c r="K54" s="42" t="str">
        <f aca="false">"PASS"</f>
        <v>PASS</v>
      </c>
      <c r="L54" s="42" t="str">
        <f aca="false">"PASS"</f>
        <v>PASS</v>
      </c>
      <c r="M54" s="42" t="str">
        <f aca="false">"PASS"</f>
        <v>PASS</v>
      </c>
      <c r="N54" s="42" t="str">
        <f aca="false">"PASS"</f>
        <v>PASS</v>
      </c>
      <c r="O54" s="42" t="str">
        <f aca="false">"PASS"</f>
        <v>PASS</v>
      </c>
      <c r="P54" s="42" t="str">
        <f aca="false">"PASS"</f>
        <v>PASS</v>
      </c>
      <c r="Q54" s="42" t="str">
        <f aca="false">"PASS"</f>
        <v>PASS</v>
      </c>
      <c r="R54" s="42" t="str">
        <f aca="false">"PASS"</f>
        <v>PASS</v>
      </c>
      <c r="S54" s="42" t="str">
        <f aca="false">"PASS"</f>
        <v>PASS</v>
      </c>
      <c r="T54" s="42" t="str">
        <f aca="false">"PASS"</f>
        <v>PASS</v>
      </c>
      <c r="U54" s="43" t="str">
        <f aca="false">IF((IF(C54="PASS",1,0)+IF(D54="PASS",1,0)+IF(E54="PASS",1,0)+IF(F54="PASS",1,0)+IF(G54="PASS",1,0)+IF(H54="PASS",1,0)+IF(I54="PASS",1,0)+IF(J54="PASS",1,0)+IF(K54="PASS",1,0)+IF(L54="PASS",1,0)+IF(M54="PASS",1,0)+IF(N54="PASS",1,0)+IF(O54="PASS",1,0)+IF(P54="PASS",1,0)+IF(Q54="PASS",1,0)+IF(R54="PASS",1,0)+IF(S54="PASS",1,0)+IF(T54="PASS",1,0))=18,"PASS","FAIL")</f>
        <v>PASS</v>
      </c>
    </row>
    <row r="55" customFormat="false" ht="15.75" hidden="false" customHeight="true" outlineLevel="0" collapsed="false">
      <c r="A55" s="40" t="s">
        <v>379</v>
      </c>
      <c r="B55" s="41" t="s">
        <v>380</v>
      </c>
      <c r="C55" s="42" t="str">
        <f aca="false">IF(6_BS!B18&gt;=OB_WED,"PASS","FAIL")</f>
        <v>PASS</v>
      </c>
      <c r="D55" s="42" t="str">
        <f aca="false">IF(6_BS!C18&gt;=6_BS!B18,"PASS","FAIL")</f>
        <v>PASS</v>
      </c>
      <c r="E55" s="42" t="str">
        <f aca="false">IF(6_BS!D18&gt;=6_BS!C18,"PASS","FAIL")</f>
        <v>PASS</v>
      </c>
      <c r="F55" s="42" t="str">
        <f aca="false">IF(6_BS!E18&gt;=6_BS!D18,"PASS","FAIL")</f>
        <v>PASS</v>
      </c>
      <c r="G55" s="42" t="str">
        <f aca="false">IF(6_BS!F18&gt;=6_BS!E18,"PASS","FAIL")</f>
        <v>PASS</v>
      </c>
      <c r="H55" s="42" t="str">
        <f aca="false">IF(6_BS!G18&gt;=6_BS!F18,"PASS","FAIL")</f>
        <v>PASS</v>
      </c>
      <c r="I55" s="42" t="str">
        <f aca="false">IF(6_BS!H18&gt;=6_BS!G18,"PASS","FAIL")</f>
        <v>PASS</v>
      </c>
      <c r="J55" s="42" t="str">
        <f aca="false">IF(6_BS!I18&gt;=6_BS!H18,"PASS","FAIL")</f>
        <v>PASS</v>
      </c>
      <c r="K55" s="42" t="str">
        <f aca="false">IF(6_BS!J18&gt;=6_BS!I18,"PASS","FAIL")</f>
        <v>PASS</v>
      </c>
      <c r="L55" s="42" t="str">
        <f aca="false">IF(6_BS!K18&gt;=6_BS!J18,"PASS","FAIL")</f>
        <v>PASS</v>
      </c>
      <c r="M55" s="42" t="str">
        <f aca="false">IF(6_BS!L18&gt;=6_BS!K18,"PASS","FAIL")</f>
        <v>PASS</v>
      </c>
      <c r="N55" s="42" t="str">
        <f aca="false">IF(6_BS!M18&gt;=6_BS!L18,"PASS","FAIL")</f>
        <v>PASS</v>
      </c>
      <c r="O55" s="42" t="str">
        <f aca="false">IF(6_BS!N18&gt;=6_BS!M18,"PASS","FAIL")</f>
        <v>PASS</v>
      </c>
      <c r="P55" s="42" t="str">
        <f aca="false">IF(6_BS!O18&gt;=6_BS!N18,"PASS","FAIL")</f>
        <v>PASS</v>
      </c>
      <c r="Q55" s="42" t="str">
        <f aca="false">IF(6_BS!P18&gt;=6_BS!O18,"PASS","FAIL")</f>
        <v>PASS</v>
      </c>
      <c r="R55" s="42" t="str">
        <f aca="false">IF(6_BS!Q18&gt;=6_BS!P18,"PASS","FAIL")</f>
        <v>PASS</v>
      </c>
      <c r="S55" s="42" t="str">
        <f aca="false">IF(6_BS!R18&gt;=6_BS!Q18,"PASS","FAIL")</f>
        <v>PASS</v>
      </c>
      <c r="T55" s="42" t="str">
        <f aca="false">IF(6_BS!S18&gt;=6_BS!R18,"PASS","FAIL")</f>
        <v>PASS</v>
      </c>
      <c r="U55" s="43" t="str">
        <f aca="false">IF((IF(C55="PASS",1,0)+IF(D55="PASS",1,0)+IF(E55="PASS",1,0)+IF(F55="PASS",1,0)+IF(G55="PASS",1,0)+IF(H55="PASS",1,0)+IF(I55="PASS",1,0)+IF(J55="PASS",1,0)+IF(K55="PASS",1,0)+IF(L55="PASS",1,0)+IF(M55="PASS",1,0)+IF(N55="PASS",1,0)+IF(O55="PASS",1,0)+IF(P55="PASS",1,0)+IF(Q55="PASS",1,0)+IF(R55="PASS",1,0)+IF(S55="PASS",1,0)+IF(T55="PASS",1,0))=18,"PASS","FAIL")</f>
        <v>PASS</v>
      </c>
    </row>
    <row r="56" customFormat="false" ht="15.75" hidden="false" customHeight="true" outlineLevel="0" collapsed="false">
      <c r="A56" s="40" t="s">
        <v>381</v>
      </c>
      <c r="B56" s="41" t="s">
        <v>382</v>
      </c>
      <c r="C56" s="42" t="str">
        <f aca="false">IF(2_Revenue!B11&lt;=2_Revenue!B8+2_Revenue!B9+2_Revenue!B10,"PASS","FAIL")</f>
        <v>PASS</v>
      </c>
      <c r="D56" s="42" t="str">
        <f aca="false">IF(2_Revenue!C11&lt;=2_Revenue!B12+2_Revenue!C8+2_Revenue!C9+2_Revenue!C10,"PASS","FAIL")</f>
        <v>PASS</v>
      </c>
      <c r="E56" s="42" t="str">
        <f aca="false">IF(2_Revenue!D11&lt;=2_Revenue!C12+2_Revenue!D8+2_Revenue!D9+2_Revenue!D10,"PASS","FAIL")</f>
        <v>PASS</v>
      </c>
      <c r="F56" s="42" t="str">
        <f aca="false">IF(2_Revenue!E11&lt;=2_Revenue!D12+2_Revenue!E8+2_Revenue!E9+2_Revenue!E10,"PASS","FAIL")</f>
        <v>PASS</v>
      </c>
      <c r="G56" s="42" t="str">
        <f aca="false">IF(2_Revenue!F11&lt;=2_Revenue!E12+2_Revenue!F8+2_Revenue!F9+2_Revenue!F10,"PASS","FAIL")</f>
        <v>PASS</v>
      </c>
      <c r="H56" s="42" t="str">
        <f aca="false">IF(2_Revenue!G11&lt;=2_Revenue!F12+2_Revenue!G8+2_Revenue!G9+2_Revenue!G10,"PASS","FAIL")</f>
        <v>PASS</v>
      </c>
      <c r="I56" s="42" t="str">
        <f aca="false">IF(2_Revenue!H11&lt;=2_Revenue!G12+2_Revenue!H8+2_Revenue!H9+2_Revenue!H10,"PASS","FAIL")</f>
        <v>PASS</v>
      </c>
      <c r="J56" s="42" t="str">
        <f aca="false">IF(2_Revenue!I11&lt;=2_Revenue!H12+2_Revenue!I8+2_Revenue!I9+2_Revenue!I10,"PASS","FAIL")</f>
        <v>PASS</v>
      </c>
      <c r="K56" s="42" t="str">
        <f aca="false">IF(2_Revenue!J11&lt;=2_Revenue!I12+2_Revenue!J8+2_Revenue!J9+2_Revenue!J10,"PASS","FAIL")</f>
        <v>PASS</v>
      </c>
      <c r="L56" s="42" t="str">
        <f aca="false">IF(2_Revenue!K11&lt;=2_Revenue!J12+2_Revenue!K8+2_Revenue!K9+2_Revenue!K10,"PASS","FAIL")</f>
        <v>PASS</v>
      </c>
      <c r="M56" s="42" t="str">
        <f aca="false">IF(2_Revenue!L11&lt;=2_Revenue!K12+2_Revenue!L8+2_Revenue!L9+2_Revenue!L10,"PASS","FAIL")</f>
        <v>PASS</v>
      </c>
      <c r="N56" s="42" t="str">
        <f aca="false">IF(2_Revenue!M11&lt;=2_Revenue!L12+2_Revenue!M8+2_Revenue!M9+2_Revenue!M10,"PASS","FAIL")</f>
        <v>PASS</v>
      </c>
      <c r="O56" s="42" t="str">
        <f aca="false">IF(2_Revenue!N11&lt;=2_Revenue!M12+2_Revenue!N8+2_Revenue!N9+2_Revenue!N10,"PASS","FAIL")</f>
        <v>PASS</v>
      </c>
      <c r="P56" s="42" t="str">
        <f aca="false">IF(2_Revenue!O11&lt;=2_Revenue!N12+2_Revenue!O8+2_Revenue!O9+2_Revenue!O10,"PASS","FAIL")</f>
        <v>PASS</v>
      </c>
      <c r="Q56" s="42" t="str">
        <f aca="false">IF(2_Revenue!P11&lt;=2_Revenue!O12+2_Revenue!P8+2_Revenue!P9+2_Revenue!P10,"PASS","FAIL")</f>
        <v>PASS</v>
      </c>
      <c r="R56" s="42" t="str">
        <f aca="false">IF(2_Revenue!Q11&lt;=2_Revenue!P12+2_Revenue!Q8+2_Revenue!Q9+2_Revenue!Q10,"PASS","FAIL")</f>
        <v>PASS</v>
      </c>
      <c r="S56" s="42" t="str">
        <f aca="false">IF(2_Revenue!R11&lt;=2_Revenue!Q12+2_Revenue!R8+2_Revenue!R9+2_Revenue!R10,"PASS","FAIL")</f>
        <v>PASS</v>
      </c>
      <c r="T56" s="42" t="str">
        <f aca="false">IF(2_Revenue!S11&lt;=2_Revenue!R12+2_Revenue!S8+2_Revenue!S9+2_Revenue!S10,"PASS","FAIL")</f>
        <v>PASS</v>
      </c>
      <c r="U56" s="43" t="str">
        <f aca="false">IF((IF(C56="PASS",1,0)+IF(D56="PASS",1,0)+IF(E56="PASS",1,0)+IF(F56="PASS",1,0)+IF(G56="PASS",1,0)+IF(H56="PASS",1,0)+IF(I56="PASS",1,0)+IF(J56="PASS",1,0)+IF(K56="PASS",1,0)+IF(L56="PASS",1,0)+IF(M56="PASS",1,0)+IF(N56="PASS",1,0)+IF(O56="PASS",1,0)+IF(P56="PASS",1,0)+IF(Q56="PASS",1,0)+IF(R56="PASS",1,0)+IF(S56="PASS",1,0)+IF(T56="PASS",1,0))=18,"PASS","FAIL")</f>
        <v>PASS</v>
      </c>
    </row>
    <row r="57" customFormat="false" ht="15" hidden="false" customHeight="true" outlineLevel="0" collapsed="false">
      <c r="A57" s="44" t="s">
        <v>383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</row>
    <row r="59" customFormat="false" ht="15" hidden="false" customHeight="true" outlineLevel="0" collapsed="false">
      <c r="A59" s="45" t="s">
        <v>384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</row>
  </sheetData>
  <mergeCells count="11">
    <mergeCell ref="A1:U1"/>
    <mergeCell ref="A2:U2"/>
    <mergeCell ref="A4:F4"/>
    <mergeCell ref="A9:F9"/>
    <mergeCell ref="A14:F14"/>
    <mergeCell ref="A20:F20"/>
    <mergeCell ref="A25:F25"/>
    <mergeCell ref="A31:F31"/>
    <mergeCell ref="A37:U37"/>
    <mergeCell ref="A57:U57"/>
    <mergeCell ref="A59:U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D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45"/>
    <col collapsed="false" customWidth="true" hidden="false" outlineLevel="0" max="4" min="4" style="1" width="48"/>
  </cols>
  <sheetData>
    <row r="1" customFormat="false" ht="17.25" hidden="false" customHeight="true" outlineLevel="0" collapsed="false">
      <c r="A1" s="46" t="s">
        <v>385</v>
      </c>
    </row>
    <row r="2" customFormat="false" ht="15" hidden="false" customHeight="true" outlineLevel="0" collapsed="false">
      <c r="A2" s="47" t="s">
        <v>386</v>
      </c>
    </row>
    <row r="4" customFormat="false" ht="15" hidden="false" customHeight="true" outlineLevel="0" collapsed="false">
      <c r="A4" s="48" t="s">
        <v>387</v>
      </c>
      <c r="B4" s="49"/>
      <c r="C4" s="49"/>
    </row>
    <row r="5" customFormat="false" ht="15" hidden="false" customHeight="true" outlineLevel="0" collapsed="false">
      <c r="A5" s="1" t="s">
        <v>388</v>
      </c>
      <c r="B5" s="50" t="n">
        <v>285</v>
      </c>
      <c r="C5" s="51" t="s">
        <v>389</v>
      </c>
    </row>
    <row r="6" customFormat="false" ht="15" hidden="false" customHeight="true" outlineLevel="0" collapsed="false">
      <c r="A6" s="1" t="s">
        <v>390</v>
      </c>
      <c r="B6" s="50" t="n">
        <v>8</v>
      </c>
      <c r="C6" s="51" t="s">
        <v>132</v>
      </c>
    </row>
    <row r="7" customFormat="false" ht="15" hidden="false" customHeight="true" outlineLevel="0" collapsed="false">
      <c r="A7" s="1" t="s">
        <v>391</v>
      </c>
      <c r="B7" s="50" t="n">
        <v>5</v>
      </c>
      <c r="C7" s="51" t="s">
        <v>132</v>
      </c>
    </row>
    <row r="8" customFormat="false" ht="15" hidden="false" customHeight="true" outlineLevel="0" collapsed="false">
      <c r="A8" s="1" t="s">
        <v>392</v>
      </c>
      <c r="B8" s="50" t="n">
        <v>24</v>
      </c>
      <c r="C8" s="51" t="s">
        <v>393</v>
      </c>
    </row>
    <row r="9" customFormat="false" ht="15" hidden="false" customHeight="true" outlineLevel="0" collapsed="false">
      <c r="A9" s="1" t="s">
        <v>394</v>
      </c>
      <c r="B9" s="50" t="n">
        <v>22</v>
      </c>
      <c r="C9" s="51" t="s">
        <v>395</v>
      </c>
    </row>
    <row r="10" customFormat="false" ht="15" hidden="false" customHeight="true" outlineLevel="0" collapsed="false">
      <c r="A10" s="1" t="s">
        <v>317</v>
      </c>
      <c r="B10" s="52" t="n">
        <v>0.7</v>
      </c>
      <c r="C10" s="51" t="s">
        <v>396</v>
      </c>
    </row>
    <row r="11" customFormat="false" ht="15" hidden="false" customHeight="true" outlineLevel="0" collapsed="false">
      <c r="A11" s="1" t="s">
        <v>397</v>
      </c>
      <c r="B11" s="50" t="n">
        <v>3</v>
      </c>
      <c r="C11" s="51" t="s">
        <v>398</v>
      </c>
    </row>
    <row r="12" customFormat="false" ht="15" hidden="false" customHeight="true" outlineLevel="0" collapsed="false">
      <c r="A12" s="1" t="s">
        <v>399</v>
      </c>
      <c r="B12" s="52" t="n">
        <v>0.05</v>
      </c>
      <c r="C12" s="51" t="s">
        <v>400</v>
      </c>
    </row>
    <row r="14" customFormat="false" ht="15" hidden="false" customHeight="true" outlineLevel="0" collapsed="false">
      <c r="A14" s="48" t="s">
        <v>401</v>
      </c>
      <c r="B14" s="49"/>
      <c r="C14" s="49"/>
    </row>
    <row r="15" customFormat="false" ht="15" hidden="false" customHeight="true" outlineLevel="0" collapsed="false">
      <c r="A15" s="1" t="s">
        <v>402</v>
      </c>
      <c r="B15" s="50" t="n">
        <v>152</v>
      </c>
      <c r="C15" s="51" t="s">
        <v>403</v>
      </c>
    </row>
    <row r="16" customFormat="false" ht="15" hidden="false" customHeight="true" outlineLevel="0" collapsed="false">
      <c r="A16" s="1" t="s">
        <v>404</v>
      </c>
      <c r="B16" s="53" t="n">
        <v>6500</v>
      </c>
      <c r="C16" s="51" t="s">
        <v>405</v>
      </c>
    </row>
    <row r="17" customFormat="false" ht="15" hidden="false" customHeight="true" outlineLevel="0" collapsed="false">
      <c r="A17" s="1" t="s">
        <v>406</v>
      </c>
      <c r="B17" s="52" t="n">
        <v>0.1055</v>
      </c>
      <c r="C17" s="51" t="s">
        <v>142</v>
      </c>
    </row>
    <row r="18" customFormat="false" ht="15" hidden="false" customHeight="true" outlineLevel="0" collapsed="false">
      <c r="A18" s="1" t="s">
        <v>407</v>
      </c>
      <c r="B18" s="53" t="n">
        <v>6800</v>
      </c>
      <c r="C18" s="51" t="s">
        <v>408</v>
      </c>
    </row>
    <row r="19" customFormat="false" ht="15" hidden="false" customHeight="true" outlineLevel="0" collapsed="false">
      <c r="A19" s="1" t="s">
        <v>409</v>
      </c>
      <c r="B19" s="53" t="n">
        <v>4669</v>
      </c>
      <c r="C19" s="51" t="s">
        <v>410</v>
      </c>
    </row>
    <row r="21" customFormat="false" ht="15" hidden="false" customHeight="true" outlineLevel="0" collapsed="false">
      <c r="A21" s="48" t="s">
        <v>411</v>
      </c>
      <c r="B21" s="49"/>
      <c r="C21" s="49"/>
    </row>
    <row r="22" customFormat="false" ht="15" hidden="false" customHeight="true" outlineLevel="0" collapsed="false">
      <c r="A22" s="1" t="s">
        <v>412</v>
      </c>
      <c r="B22" s="53" t="n">
        <v>1688</v>
      </c>
      <c r="C22" s="51" t="s">
        <v>413</v>
      </c>
    </row>
    <row r="23" customFormat="false" ht="15" hidden="false" customHeight="true" outlineLevel="0" collapsed="false">
      <c r="A23" s="1" t="s">
        <v>414</v>
      </c>
      <c r="B23" s="53" t="n">
        <v>235000</v>
      </c>
      <c r="C23" s="51" t="s">
        <v>415</v>
      </c>
    </row>
    <row r="24" customFormat="false" ht="15" hidden="false" customHeight="true" outlineLevel="0" collapsed="false">
      <c r="A24" s="1" t="s">
        <v>416</v>
      </c>
      <c r="B24" s="53" t="n">
        <v>2000</v>
      </c>
      <c r="C24" s="51" t="s">
        <v>417</v>
      </c>
    </row>
    <row r="25" customFormat="false" ht="15" hidden="false" customHeight="true" outlineLevel="0" collapsed="false">
      <c r="A25" s="1" t="s">
        <v>418</v>
      </c>
      <c r="B25" s="53" t="n">
        <v>250000</v>
      </c>
      <c r="C25" s="51" t="s">
        <v>419</v>
      </c>
    </row>
    <row r="26" customFormat="false" ht="15" hidden="false" customHeight="true" outlineLevel="0" collapsed="false">
      <c r="A26" s="1" t="s">
        <v>420</v>
      </c>
      <c r="B26" s="53" t="n">
        <v>100000</v>
      </c>
      <c r="C26" s="51" t="s">
        <v>421</v>
      </c>
    </row>
    <row r="27" customFormat="false" ht="15" hidden="false" customHeight="true" outlineLevel="0" collapsed="false">
      <c r="A27" s="1" t="s">
        <v>422</v>
      </c>
      <c r="B27" s="53" t="n">
        <v>30000</v>
      </c>
      <c r="C27" s="51" t="s">
        <v>423</v>
      </c>
    </row>
    <row r="28" customFormat="false" ht="15" hidden="false" customHeight="true" outlineLevel="0" collapsed="false">
      <c r="A28" s="1" t="s">
        <v>424</v>
      </c>
      <c r="B28" s="53" t="n">
        <v>120000</v>
      </c>
      <c r="C28" s="51" t="s">
        <v>425</v>
      </c>
    </row>
    <row r="29" customFormat="false" ht="15" hidden="false" customHeight="true" outlineLevel="0" collapsed="false">
      <c r="A29" s="1" t="s">
        <v>426</v>
      </c>
      <c r="B29" s="50" t="n">
        <v>4</v>
      </c>
      <c r="C29" s="51" t="s">
        <v>427</v>
      </c>
    </row>
    <row r="30" customFormat="false" ht="15" hidden="false" customHeight="true" outlineLevel="0" collapsed="false">
      <c r="A30" s="1" t="s">
        <v>428</v>
      </c>
      <c r="B30" s="53" t="n">
        <v>250000</v>
      </c>
      <c r="C30" s="51" t="s">
        <v>429</v>
      </c>
    </row>
    <row r="31" customFormat="false" ht="15" hidden="false" customHeight="true" outlineLevel="0" collapsed="false">
      <c r="A31" s="1" t="s">
        <v>430</v>
      </c>
      <c r="B31" s="50" t="n">
        <v>2</v>
      </c>
      <c r="C31" s="51" t="s">
        <v>431</v>
      </c>
    </row>
    <row r="32" customFormat="false" ht="15" hidden="false" customHeight="true" outlineLevel="0" collapsed="false">
      <c r="A32" s="1" t="s">
        <v>432</v>
      </c>
      <c r="B32" s="53" t="n">
        <v>500000</v>
      </c>
      <c r="C32" s="51" t="s">
        <v>433</v>
      </c>
    </row>
    <row r="33" customFormat="false" ht="15" hidden="false" customHeight="true" outlineLevel="0" collapsed="false">
      <c r="A33" s="1" t="s">
        <v>434</v>
      </c>
      <c r="B33" s="50" t="n">
        <v>5</v>
      </c>
      <c r="C33" s="51" t="s">
        <v>435</v>
      </c>
    </row>
    <row r="34" customFormat="false" ht="15" hidden="false" customHeight="true" outlineLevel="0" collapsed="false">
      <c r="A34" s="1" t="s">
        <v>436</v>
      </c>
      <c r="B34" s="53" t="n">
        <v>5000</v>
      </c>
      <c r="C34" s="51" t="s">
        <v>437</v>
      </c>
    </row>
    <row r="35" customFormat="false" ht="15" hidden="false" customHeight="true" outlineLevel="0" collapsed="false">
      <c r="A35" s="1" t="s">
        <v>438</v>
      </c>
      <c r="B35" s="50" t="n">
        <v>500</v>
      </c>
      <c r="C35" s="51" t="s">
        <v>439</v>
      </c>
    </row>
    <row r="37" customFormat="false" ht="15" hidden="false" customHeight="true" outlineLevel="0" collapsed="false">
      <c r="A37" s="48" t="s">
        <v>440</v>
      </c>
      <c r="B37" s="49"/>
      <c r="C37" s="49"/>
    </row>
    <row r="38" customFormat="false" ht="15" hidden="false" customHeight="true" outlineLevel="0" collapsed="false">
      <c r="A38" s="1" t="s">
        <v>99</v>
      </c>
      <c r="B38" s="53" t="n">
        <v>-7543</v>
      </c>
      <c r="C38" s="51" t="s">
        <v>441</v>
      </c>
    </row>
    <row r="39" customFormat="false" ht="15" hidden="false" customHeight="true" outlineLevel="0" collapsed="false">
      <c r="A39" s="1" t="s">
        <v>102</v>
      </c>
      <c r="B39" s="53" t="n">
        <v>369366</v>
      </c>
      <c r="C39" s="51" t="s">
        <v>442</v>
      </c>
    </row>
    <row r="40" customFormat="false" ht="15" hidden="false" customHeight="true" outlineLevel="0" collapsed="false">
      <c r="A40" s="1" t="s">
        <v>105</v>
      </c>
      <c r="B40" s="53" t="n">
        <v>3688</v>
      </c>
      <c r="C40" s="51" t="s">
        <v>443</v>
      </c>
    </row>
    <row r="41" customFormat="false" ht="15" hidden="false" customHeight="true" outlineLevel="0" collapsed="false">
      <c r="A41" s="1" t="s">
        <v>444</v>
      </c>
      <c r="B41" s="53" t="n">
        <v>80832</v>
      </c>
      <c r="C41" s="51" t="s">
        <v>445</v>
      </c>
    </row>
    <row r="42" customFormat="false" ht="15" hidden="false" customHeight="true" outlineLevel="0" collapsed="false">
      <c r="A42" s="1" t="s">
        <v>446</v>
      </c>
      <c r="B42" s="53" t="n">
        <v>30519</v>
      </c>
      <c r="C42" s="51" t="s">
        <v>447</v>
      </c>
    </row>
    <row r="43" customFormat="false" ht="15" hidden="false" customHeight="true" outlineLevel="0" collapsed="false">
      <c r="A43" s="1" t="s">
        <v>448</v>
      </c>
      <c r="B43" s="53" t="n">
        <v>3316</v>
      </c>
      <c r="C43" s="51" t="s">
        <v>449</v>
      </c>
    </row>
    <row r="44" customFormat="false" ht="15" hidden="false" customHeight="true" outlineLevel="0" collapsed="false">
      <c r="A44" s="1" t="s">
        <v>450</v>
      </c>
      <c r="B44" s="53" t="n">
        <v>15164</v>
      </c>
      <c r="C44" s="51" t="s">
        <v>449</v>
      </c>
    </row>
    <row r="45" customFormat="false" ht="15" hidden="false" customHeight="true" outlineLevel="0" collapsed="false">
      <c r="A45" s="1" t="s">
        <v>451</v>
      </c>
      <c r="B45" s="53" t="n">
        <v>92399</v>
      </c>
      <c r="C45" s="51" t="s">
        <v>449</v>
      </c>
    </row>
    <row r="46" customFormat="false" ht="15" hidden="false" customHeight="true" outlineLevel="0" collapsed="false">
      <c r="A46" s="1" t="s">
        <v>452</v>
      </c>
      <c r="B46" s="53" t="n">
        <v>50599</v>
      </c>
      <c r="C46" s="51" t="s">
        <v>449</v>
      </c>
    </row>
    <row r="47" customFormat="false" ht="15" hidden="false" customHeight="true" outlineLevel="0" collapsed="false">
      <c r="A47" s="1" t="s">
        <v>453</v>
      </c>
      <c r="B47" s="53" t="n">
        <v>130979</v>
      </c>
      <c r="C47" s="51" t="s">
        <v>449</v>
      </c>
    </row>
    <row r="48" customFormat="false" ht="15" hidden="false" customHeight="true" outlineLevel="0" collapsed="false">
      <c r="A48" s="1" t="s">
        <v>454</v>
      </c>
      <c r="B48" s="53" t="n">
        <v>447235</v>
      </c>
      <c r="C48" s="51" t="s">
        <v>449</v>
      </c>
    </row>
    <row r="49" customFormat="false" ht="15" hidden="false" customHeight="true" outlineLevel="0" collapsed="false">
      <c r="A49" s="1" t="s">
        <v>455</v>
      </c>
      <c r="B49" s="53" t="n">
        <v>-86900</v>
      </c>
      <c r="C49" s="51" t="s">
        <v>456</v>
      </c>
    </row>
    <row r="50" customFormat="false" ht="15" hidden="false" customHeight="true" outlineLevel="0" collapsed="false">
      <c r="A50" s="1" t="s">
        <v>108</v>
      </c>
      <c r="B50" s="53" t="n">
        <v>210686</v>
      </c>
      <c r="C50" s="51" t="s">
        <v>449</v>
      </c>
    </row>
    <row r="51" customFormat="false" ht="15" hidden="false" customHeight="true" outlineLevel="0" collapsed="false">
      <c r="A51" s="1" t="s">
        <v>457</v>
      </c>
      <c r="B51" s="53" t="n">
        <v>344331</v>
      </c>
      <c r="C51" s="51" t="s">
        <v>458</v>
      </c>
    </row>
    <row r="52" customFormat="false" ht="15" hidden="false" customHeight="true" outlineLevel="0" collapsed="false">
      <c r="A52" s="1" t="s">
        <v>459</v>
      </c>
      <c r="B52" s="53" t="n">
        <v>85996</v>
      </c>
      <c r="C52" s="51" t="s">
        <v>460</v>
      </c>
    </row>
    <row r="53" customFormat="false" ht="15" hidden="false" customHeight="true" outlineLevel="0" collapsed="false">
      <c r="A53" s="1" t="s">
        <v>461</v>
      </c>
      <c r="B53" s="53" t="n">
        <v>1176273</v>
      </c>
      <c r="C53" s="51" t="s">
        <v>449</v>
      </c>
    </row>
    <row r="54" customFormat="false" ht="15" hidden="false" customHeight="true" outlineLevel="0" collapsed="false">
      <c r="A54" s="1" t="s">
        <v>462</v>
      </c>
      <c r="B54" s="53" t="n">
        <v>191087</v>
      </c>
      <c r="C54" s="51" t="s">
        <v>463</v>
      </c>
    </row>
    <row r="55" customFormat="false" ht="15" hidden="false" customHeight="true" outlineLevel="0" collapsed="false">
      <c r="A55" s="1" t="s">
        <v>117</v>
      </c>
      <c r="B55" s="53" t="n">
        <v>-2234371</v>
      </c>
      <c r="C55" s="51" t="s">
        <v>464</v>
      </c>
    </row>
    <row r="56" customFormat="false" ht="15" hidden="false" customHeight="true" outlineLevel="0" collapsed="false">
      <c r="A56" s="54" t="s">
        <v>465</v>
      </c>
    </row>
    <row r="57" customFormat="false" ht="15" hidden="false" customHeight="true" outlineLevel="0" collapsed="false">
      <c r="A57" s="1" t="s">
        <v>466</v>
      </c>
      <c r="B57" s="55" t="n">
        <v>0.1</v>
      </c>
      <c r="C57" s="1" t="s">
        <v>467</v>
      </c>
    </row>
    <row r="58" customFormat="false" ht="15" hidden="false" customHeight="true" outlineLevel="0" collapsed="false">
      <c r="A58" s="1" t="s">
        <v>468</v>
      </c>
      <c r="B58" s="55" t="n">
        <v>4</v>
      </c>
      <c r="C58" s="1" t="s">
        <v>469</v>
      </c>
    </row>
    <row r="59" customFormat="false" ht="15" hidden="false" customHeight="true" outlineLevel="0" collapsed="false">
      <c r="A59" s="1" t="s">
        <v>470</v>
      </c>
      <c r="B59" s="55" t="n">
        <v>8</v>
      </c>
      <c r="C59" s="1" t="s">
        <v>471</v>
      </c>
    </row>
    <row r="60" customFormat="false" ht="15" hidden="false" customHeight="true" outlineLevel="0" collapsed="false">
      <c r="A60" s="1" t="s">
        <v>472</v>
      </c>
      <c r="B60" s="55" t="n">
        <v>13</v>
      </c>
      <c r="C60" s="1" t="s">
        <v>473</v>
      </c>
    </row>
    <row r="61" customFormat="false" ht="15" hidden="false" customHeight="true" outlineLevel="0" collapsed="false">
      <c r="A61" s="1" t="s">
        <v>474</v>
      </c>
      <c r="B61" s="55" t="n">
        <v>3000</v>
      </c>
      <c r="C61" s="1" t="s">
        <v>475</v>
      </c>
    </row>
    <row r="62" customFormat="false" ht="15" hidden="false" customHeight="true" outlineLevel="0" collapsed="false">
      <c r="A62" s="1" t="s">
        <v>476</v>
      </c>
      <c r="B62" s="55" t="n">
        <v>4</v>
      </c>
      <c r="C62" s="1" t="s">
        <v>477</v>
      </c>
    </row>
    <row r="63" customFormat="false" ht="15" hidden="false" customHeight="true" outlineLevel="0" collapsed="false">
      <c r="A63" s="1" t="s">
        <v>478</v>
      </c>
      <c r="B63" s="55" t="n">
        <v>5</v>
      </c>
      <c r="C63" s="1" t="s">
        <v>479</v>
      </c>
    </row>
    <row r="64" customFormat="false" ht="15" hidden="false" customHeight="true" outlineLevel="0" collapsed="false">
      <c r="A64" s="1" t="s">
        <v>480</v>
      </c>
      <c r="B64" s="55" t="n">
        <v>152</v>
      </c>
      <c r="C64" s="1" t="s">
        <v>481</v>
      </c>
    </row>
    <row r="65" customFormat="false" ht="15" hidden="false" customHeight="true" outlineLevel="0" collapsed="false">
      <c r="A65" s="1" t="s">
        <v>482</v>
      </c>
      <c r="B65" s="55" t="n">
        <v>0.4</v>
      </c>
      <c r="C65" s="1" t="s">
        <v>483</v>
      </c>
    </row>
    <row r="66" customFormat="false" ht="15" hidden="false" customHeight="true" outlineLevel="0" collapsed="false">
      <c r="A66" s="54" t="s">
        <v>484</v>
      </c>
    </row>
    <row r="67" customFormat="false" ht="15" hidden="false" customHeight="true" outlineLevel="0" collapsed="false">
      <c r="A67" s="1" t="s">
        <v>485</v>
      </c>
      <c r="B67" s="55" t="n">
        <v>0</v>
      </c>
      <c r="C67" s="1" t="s">
        <v>486</v>
      </c>
    </row>
    <row r="68" customFormat="false" ht="15" hidden="false" customHeight="true" outlineLevel="0" collapsed="false">
      <c r="A68" s="1" t="s">
        <v>487</v>
      </c>
      <c r="B68" s="55" t="n">
        <v>6</v>
      </c>
      <c r="C68" s="1" t="s">
        <v>488</v>
      </c>
    </row>
    <row r="69" customFormat="false" ht="15" hidden="false" customHeight="true" outlineLevel="0" collapsed="false">
      <c r="A69" s="1" t="s">
        <v>489</v>
      </c>
      <c r="B69" s="55" t="n">
        <v>705</v>
      </c>
      <c r="C69" s="1" t="s">
        <v>490</v>
      </c>
    </row>
    <row r="70" customFormat="false" ht="15" hidden="false" customHeight="true" outlineLevel="0" collapsed="false">
      <c r="A70" s="1" t="s">
        <v>491</v>
      </c>
      <c r="B70" s="55" t="n">
        <v>10</v>
      </c>
      <c r="C70" s="1" t="s">
        <v>492</v>
      </c>
    </row>
    <row r="71" customFormat="false" ht="15" hidden="false" customHeight="true" outlineLevel="0" collapsed="false">
      <c r="A71" s="1" t="s">
        <v>493</v>
      </c>
      <c r="B71" s="55" t="n">
        <v>0.15</v>
      </c>
      <c r="C71" s="1" t="s">
        <v>494</v>
      </c>
    </row>
    <row r="72" customFormat="false" ht="15" hidden="false" customHeight="true" outlineLevel="0" collapsed="false">
      <c r="A72" s="1" t="s">
        <v>495</v>
      </c>
      <c r="B72" s="55" t="n">
        <v>100</v>
      </c>
      <c r="C72" s="1" t="s">
        <v>496</v>
      </c>
    </row>
    <row r="73" customFormat="false" ht="15" hidden="false" customHeight="true" outlineLevel="0" collapsed="false">
      <c r="A73" s="1" t="s">
        <v>497</v>
      </c>
      <c r="B73" s="55" t="n">
        <v>25</v>
      </c>
      <c r="C73" s="1" t="s">
        <v>498</v>
      </c>
    </row>
    <row r="74" customFormat="false" ht="15" hidden="false" customHeight="true" outlineLevel="0" collapsed="false">
      <c r="A74" s="1" t="s">
        <v>499</v>
      </c>
      <c r="B74" s="55" t="n">
        <v>2000</v>
      </c>
      <c r="C74" s="1" t="s">
        <v>500</v>
      </c>
    </row>
    <row r="75" customFormat="false" ht="15" hidden="false" customHeight="true" outlineLevel="0" collapsed="false">
      <c r="A75" s="1" t="s">
        <v>501</v>
      </c>
      <c r="B75" s="55" t="n">
        <v>0.05</v>
      </c>
      <c r="C75" s="1" t="s">
        <v>502</v>
      </c>
    </row>
    <row r="76" customFormat="false" ht="15" hidden="false" customHeight="true" outlineLevel="0" collapsed="false">
      <c r="A76" s="54" t="s">
        <v>503</v>
      </c>
    </row>
    <row r="77" customFormat="false" ht="15" hidden="false" customHeight="true" outlineLevel="0" collapsed="false">
      <c r="A77" s="1" t="s">
        <v>504</v>
      </c>
      <c r="B77" s="55" t="n">
        <v>0</v>
      </c>
      <c r="C77" s="1" t="s">
        <v>505</v>
      </c>
    </row>
    <row r="78" customFormat="false" ht="15" hidden="false" customHeight="true" outlineLevel="0" collapsed="false">
      <c r="A78" s="1" t="s">
        <v>506</v>
      </c>
      <c r="B78" s="55" t="n">
        <v>10</v>
      </c>
      <c r="C78" s="1" t="s">
        <v>507</v>
      </c>
    </row>
    <row r="79" customFormat="false" ht="15" hidden="false" customHeight="true" outlineLevel="0" collapsed="false">
      <c r="A79" s="1" t="s">
        <v>508</v>
      </c>
      <c r="B79" s="55" t="n">
        <v>99</v>
      </c>
      <c r="C79" s="1" t="s">
        <v>509</v>
      </c>
    </row>
    <row r="80" customFormat="false" ht="15" hidden="false" customHeight="true" outlineLevel="0" collapsed="false">
      <c r="A80" s="1" t="s">
        <v>510</v>
      </c>
      <c r="B80" s="55" t="n">
        <v>0.2</v>
      </c>
      <c r="C80" s="1" t="s">
        <v>511</v>
      </c>
    </row>
    <row r="81" customFormat="false" ht="15" hidden="false" customHeight="true" outlineLevel="0" collapsed="false">
      <c r="A81" s="1" t="s">
        <v>512</v>
      </c>
      <c r="B81" s="55" t="n">
        <v>6</v>
      </c>
      <c r="C81" s="1" t="s">
        <v>513</v>
      </c>
    </row>
    <row r="82" customFormat="false" ht="15" hidden="false" customHeight="true" outlineLevel="0" collapsed="false">
      <c r="A82" s="1" t="s">
        <v>514</v>
      </c>
      <c r="B82" s="55" t="n">
        <v>0</v>
      </c>
      <c r="C82" s="1" t="s">
        <v>515</v>
      </c>
    </row>
    <row r="83" customFormat="false" ht="15" hidden="false" customHeight="true" outlineLevel="0" collapsed="false">
      <c r="A83" s="1" t="s">
        <v>516</v>
      </c>
      <c r="B83" s="55" t="n">
        <v>9.99</v>
      </c>
      <c r="C83" s="1" t="s">
        <v>517</v>
      </c>
    </row>
    <row r="84" customFormat="false" ht="15" hidden="false" customHeight="true" outlineLevel="0" collapsed="false">
      <c r="A84" s="1" t="s">
        <v>518</v>
      </c>
      <c r="B84" s="55" t="n">
        <v>0.85</v>
      </c>
      <c r="C84" s="1" t="s">
        <v>519</v>
      </c>
    </row>
    <row r="85" customFormat="false" ht="15" hidden="false" customHeight="true" outlineLevel="0" collapsed="false">
      <c r="A85" s="54" t="s">
        <v>520</v>
      </c>
    </row>
    <row r="86" customFormat="false" ht="15" hidden="false" customHeight="true" outlineLevel="0" collapsed="false">
      <c r="A86" s="1" t="s">
        <v>521</v>
      </c>
      <c r="B86" s="55" t="n">
        <v>12</v>
      </c>
      <c r="C86" s="1" t="s">
        <v>522</v>
      </c>
    </row>
    <row r="87" customFormat="false" ht="15" hidden="false" customHeight="true" outlineLevel="0" collapsed="false">
      <c r="A87" s="1" t="s">
        <v>523</v>
      </c>
      <c r="B87" s="55" t="n">
        <v>60</v>
      </c>
      <c r="C87" s="1" t="s">
        <v>524</v>
      </c>
    </row>
    <row r="88" customFormat="false" ht="15" hidden="false" customHeight="true" outlineLevel="0" collapsed="false">
      <c r="A88" s="1" t="s">
        <v>525</v>
      </c>
      <c r="B88" s="55" t="n">
        <v>0.08</v>
      </c>
      <c r="C88" s="1" t="s">
        <v>526</v>
      </c>
    </row>
    <row r="89" customFormat="false" ht="15" hidden="false" customHeight="true" outlineLevel="0" collapsed="false">
      <c r="A89" s="1" t="s">
        <v>527</v>
      </c>
      <c r="B89" s="55" t="s">
        <v>528</v>
      </c>
      <c r="C89" s="1" t="s">
        <v>196</v>
      </c>
    </row>
    <row r="91" customFormat="false" ht="15" hidden="false" customHeight="true" outlineLevel="0" collapsed="false">
      <c r="A91" s="1" t="s">
        <v>529</v>
      </c>
      <c r="B91" s="55" t="n">
        <v>56700</v>
      </c>
      <c r="C91" s="1" t="s">
        <v>530</v>
      </c>
    </row>
    <row r="92" customFormat="false" ht="15" hidden="false" customHeight="true" outlineLevel="0" collapsed="false">
      <c r="A92" s="1" t="s">
        <v>531</v>
      </c>
      <c r="B92" s="55" t="n">
        <v>0</v>
      </c>
      <c r="C92" s="1" t="s">
        <v>532</v>
      </c>
    </row>
    <row r="93" customFormat="false" ht="15" hidden="false" customHeight="true" outlineLevel="0" collapsed="false">
      <c r="A93" s="1" t="s">
        <v>533</v>
      </c>
      <c r="B93" s="55" t="n">
        <v>11</v>
      </c>
      <c r="C93" s="1" t="s">
        <v>534</v>
      </c>
    </row>
    <row r="94" customFormat="false" ht="15" hidden="false" customHeight="true" outlineLevel="0" collapsed="false">
      <c r="A94" s="1" t="s">
        <v>535</v>
      </c>
      <c r="B94" s="55" t="s">
        <v>536</v>
      </c>
      <c r="C94" s="1" t="s">
        <v>537</v>
      </c>
    </row>
    <row r="95" customFormat="false" ht="15" hidden="false" customHeight="true" outlineLevel="0" collapsed="false">
      <c r="A95" s="1" t="s">
        <v>538</v>
      </c>
      <c r="B95" s="55" t="s">
        <v>536</v>
      </c>
      <c r="C95" s="1" t="s">
        <v>537</v>
      </c>
    </row>
    <row r="96" customFormat="false" ht="15" hidden="false" customHeight="true" outlineLevel="0" collapsed="false">
      <c r="A96" s="1" t="s">
        <v>539</v>
      </c>
      <c r="B96" s="55" t="s">
        <v>540</v>
      </c>
      <c r="C96" s="1" t="s">
        <v>199</v>
      </c>
    </row>
    <row r="97" customFormat="false" ht="15" hidden="false" customHeight="true" outlineLevel="0" collapsed="false">
      <c r="A97" s="1" t="s">
        <v>541</v>
      </c>
      <c r="B97" s="55" t="n">
        <v>12</v>
      </c>
      <c r="C97" s="1" t="s">
        <v>542</v>
      </c>
    </row>
    <row r="100" customFormat="false" ht="15" hidden="false" customHeight="true" outlineLevel="0" collapsed="false">
      <c r="A100" s="56" t="s">
        <v>543</v>
      </c>
      <c r="B100" s="56"/>
      <c r="C100" s="56"/>
      <c r="D100" s="56"/>
    </row>
    <row r="101" customFormat="false" ht="15" hidden="false" customHeight="true" outlineLevel="0" collapsed="false">
      <c r="A101" s="57" t="s">
        <v>544</v>
      </c>
      <c r="B101" s="58" t="n">
        <v>2000000</v>
      </c>
      <c r="C101" s="1" t="s">
        <v>545</v>
      </c>
    </row>
    <row r="102" customFormat="false" ht="15" hidden="false" customHeight="true" outlineLevel="0" collapsed="false">
      <c r="A102" s="57" t="s">
        <v>546</v>
      </c>
      <c r="B102" s="58" t="n">
        <v>7500000</v>
      </c>
      <c r="C102" s="1" t="s">
        <v>547</v>
      </c>
    </row>
    <row r="103" customFormat="false" ht="15" hidden="false" customHeight="true" outlineLevel="0" collapsed="false">
      <c r="A103" s="57" t="s">
        <v>548</v>
      </c>
      <c r="B103" s="59" t="s">
        <v>549</v>
      </c>
      <c r="C103" s="1" t="s">
        <v>550</v>
      </c>
    </row>
    <row r="104" customFormat="false" ht="15" hidden="false" customHeight="true" outlineLevel="0" collapsed="false">
      <c r="A104" s="57" t="s">
        <v>551</v>
      </c>
      <c r="B104" s="52" t="n">
        <v>0.2</v>
      </c>
      <c r="C104" s="1" t="s">
        <v>552</v>
      </c>
    </row>
    <row r="105" customFormat="false" ht="15" hidden="false" customHeight="true" outlineLevel="0" collapsed="false">
      <c r="A105" s="57" t="s">
        <v>553</v>
      </c>
      <c r="B105" s="58" t="n">
        <v>10000000</v>
      </c>
      <c r="C105" s="1" t="s">
        <v>554</v>
      </c>
    </row>
    <row r="107" customFormat="false" ht="6" hidden="false" customHeight="true" outlineLevel="0" collapsed="false"/>
    <row r="108" customFormat="false" ht="18" hidden="false" customHeight="true" outlineLevel="0" collapsed="false">
      <c r="A108" s="60" t="s">
        <v>555</v>
      </c>
      <c r="B108" s="60"/>
      <c r="C108" s="60"/>
      <c r="D108" s="60"/>
    </row>
    <row r="109" customFormat="false" ht="21.75" hidden="false" customHeight="true" outlineLevel="0" collapsed="false">
      <c r="A109" s="61" t="s">
        <v>170</v>
      </c>
      <c r="B109" s="62" t="s">
        <v>178</v>
      </c>
      <c r="C109" s="63" t="s">
        <v>556</v>
      </c>
      <c r="D109" s="63" t="s">
        <v>557</v>
      </c>
    </row>
    <row r="112" customFormat="false" ht="15" hidden="false" customHeight="true" outlineLevel="0" collapsed="false">
      <c r="A112" s="64" t="s">
        <v>558</v>
      </c>
    </row>
    <row r="113" customFormat="false" ht="15" hidden="false" customHeight="true" outlineLevel="0" collapsed="false">
      <c r="A113" s="65" t="s">
        <v>559</v>
      </c>
      <c r="B113" s="66" t="n">
        <v>0.25</v>
      </c>
      <c r="C113" s="67" t="s">
        <v>560</v>
      </c>
    </row>
    <row r="114" customFormat="false" ht="15" hidden="false" customHeight="true" outlineLevel="0" collapsed="false">
      <c r="A114" s="65" t="s">
        <v>561</v>
      </c>
      <c r="B114" s="66" t="n">
        <v>0.4</v>
      </c>
      <c r="C114" s="67" t="s">
        <v>562</v>
      </c>
    </row>
    <row r="115" customFormat="false" ht="15" hidden="false" customHeight="true" outlineLevel="0" collapsed="false">
      <c r="A115" s="65" t="s">
        <v>563</v>
      </c>
      <c r="B115" s="66" t="n">
        <v>0.3</v>
      </c>
      <c r="C115" s="67" t="s">
        <v>564</v>
      </c>
    </row>
    <row r="116" customFormat="false" ht="15" hidden="false" customHeight="true" outlineLevel="0" collapsed="false">
      <c r="A116" s="65" t="s">
        <v>565</v>
      </c>
      <c r="B116" s="66" t="n">
        <v>0.2</v>
      </c>
      <c r="C116" s="67" t="s">
        <v>566</v>
      </c>
    </row>
    <row r="117" customFormat="false" ht="15" hidden="false" customHeight="true" outlineLevel="0" collapsed="false">
      <c r="A117" s="65" t="s">
        <v>567</v>
      </c>
      <c r="B117" s="66" t="n">
        <v>0.03</v>
      </c>
      <c r="C117" s="67" t="s">
        <v>568</v>
      </c>
    </row>
    <row r="118" customFormat="false" ht="15" hidden="false" customHeight="true" outlineLevel="0" collapsed="false">
      <c r="A118" s="65" t="s">
        <v>569</v>
      </c>
      <c r="B118" s="68" t="n">
        <v>8</v>
      </c>
      <c r="C118" s="67" t="s">
        <v>570</v>
      </c>
    </row>
    <row r="119" customFormat="false" ht="15" hidden="false" customHeight="true" outlineLevel="0" collapsed="false">
      <c r="A119" s="65" t="s">
        <v>571</v>
      </c>
      <c r="B119" s="66" t="n">
        <v>0.25</v>
      </c>
      <c r="C119" s="67" t="s">
        <v>572</v>
      </c>
    </row>
    <row r="120" customFormat="false" ht="15" hidden="false" customHeight="true" outlineLevel="0" collapsed="false">
      <c r="A120" s="65" t="s">
        <v>573</v>
      </c>
      <c r="B120" s="66" t="n">
        <v>0.55</v>
      </c>
      <c r="C120" s="67" t="s">
        <v>574</v>
      </c>
    </row>
    <row r="122" customFormat="false" ht="15" hidden="false" customHeight="true" outlineLevel="0" collapsed="false">
      <c r="A122" s="64" t="s">
        <v>575</v>
      </c>
    </row>
    <row r="123" customFormat="false" ht="15" hidden="false" customHeight="true" outlineLevel="0" collapsed="false">
      <c r="A123" s="65" t="s">
        <v>576</v>
      </c>
      <c r="B123" s="68" t="n">
        <v>250</v>
      </c>
      <c r="C123" s="67" t="s">
        <v>577</v>
      </c>
    </row>
    <row r="124" customFormat="false" ht="15" hidden="false" customHeight="true" outlineLevel="0" collapsed="false">
      <c r="A124" s="65" t="s">
        <v>578</v>
      </c>
      <c r="B124" s="68" t="n">
        <v>8</v>
      </c>
      <c r="C124" s="67" t="s">
        <v>579</v>
      </c>
    </row>
    <row r="126" customFormat="false" ht="18" hidden="false" customHeight="true" outlineLevel="0" collapsed="false">
      <c r="A126" s="69" t="s">
        <v>580</v>
      </c>
      <c r="B126" s="69"/>
      <c r="C126" s="69"/>
      <c r="D126" s="69"/>
    </row>
    <row r="127" customFormat="false" ht="15" hidden="false" customHeight="true" outlineLevel="0" collapsed="false">
      <c r="A127" s="70" t="s">
        <v>581</v>
      </c>
      <c r="B127" s="71" t="n">
        <v>5000</v>
      </c>
      <c r="C127" s="72" t="s">
        <v>582</v>
      </c>
    </row>
    <row r="128" customFormat="false" ht="15" hidden="false" customHeight="true" outlineLevel="0" collapsed="false">
      <c r="A128" s="70" t="s">
        <v>583</v>
      </c>
      <c r="B128" s="73" t="n">
        <v>0.05</v>
      </c>
      <c r="C128" s="72" t="s">
        <v>584</v>
      </c>
    </row>
    <row r="129" customFormat="false" ht="15" hidden="false" customHeight="true" outlineLevel="0" collapsed="false">
      <c r="A129" s="70" t="s">
        <v>585</v>
      </c>
      <c r="B129" s="73" t="n">
        <v>0.15</v>
      </c>
      <c r="C129" s="72" t="s">
        <v>586</v>
      </c>
    </row>
    <row r="130" customFormat="false" ht="15" hidden="false" customHeight="true" outlineLevel="0" collapsed="false">
      <c r="A130" s="70" t="s">
        <v>587</v>
      </c>
      <c r="B130" s="74" t="n">
        <v>8000</v>
      </c>
      <c r="C130" s="72" t="s">
        <v>588</v>
      </c>
    </row>
    <row r="131" customFormat="false" ht="15" hidden="false" customHeight="true" outlineLevel="0" collapsed="false">
      <c r="A131" s="70" t="s">
        <v>589</v>
      </c>
      <c r="B131" s="73" t="n">
        <v>0.3</v>
      </c>
      <c r="C131" s="72" t="s">
        <v>590</v>
      </c>
    </row>
  </sheetData>
  <mergeCells count="3">
    <mergeCell ref="A100:D100"/>
    <mergeCell ref="A108:D108"/>
    <mergeCell ref="A126:D1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S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9" min="2" style="1" width="14"/>
  </cols>
  <sheetData>
    <row r="1" customFormat="false" ht="15" hidden="false" customHeight="true" outlineLevel="0" collapsed="false">
      <c r="A1" s="75" t="s">
        <v>591</v>
      </c>
    </row>
    <row r="2" customFormat="false" ht="15" hidden="false" customHeight="true" outlineLevel="0" collapsed="false">
      <c r="A2" s="76" t="s">
        <v>592</v>
      </c>
      <c r="B2" s="77" t="s">
        <v>328</v>
      </c>
      <c r="C2" s="77" t="s">
        <v>329</v>
      </c>
      <c r="D2" s="77" t="s">
        <v>330</v>
      </c>
      <c r="E2" s="77" t="s">
        <v>331</v>
      </c>
      <c r="F2" s="77" t="s">
        <v>332</v>
      </c>
      <c r="G2" s="77" t="s">
        <v>333</v>
      </c>
      <c r="H2" s="77" t="s">
        <v>334</v>
      </c>
      <c r="I2" s="77" t="s">
        <v>335</v>
      </c>
      <c r="J2" s="77" t="s">
        <v>336</v>
      </c>
      <c r="K2" s="77" t="s">
        <v>337</v>
      </c>
      <c r="L2" s="77" t="s">
        <v>338</v>
      </c>
      <c r="M2" s="77" t="s">
        <v>339</v>
      </c>
      <c r="N2" s="77" t="s">
        <v>340</v>
      </c>
      <c r="O2" s="77" t="s">
        <v>341</v>
      </c>
      <c r="P2" s="77" t="s">
        <v>342</v>
      </c>
      <c r="Q2" s="77" t="s">
        <v>343</v>
      </c>
      <c r="R2" s="77" t="s">
        <v>344</v>
      </c>
      <c r="S2" s="77" t="s">
        <v>345</v>
      </c>
    </row>
    <row r="4" customFormat="false" ht="15" hidden="false" customHeight="true" outlineLevel="0" collapsed="false">
      <c r="A4" s="1" t="s">
        <v>593</v>
      </c>
      <c r="B4" s="78" t="n">
        <v>0</v>
      </c>
      <c r="C4" s="79" t="n">
        <f aca="false">IF(1&gt;=CAP_ARRIVAL,IF(1-CAP_ARRIVAL=0,REV_RAMP_M1,IF(1-CAP_ARRIVAL=1,REV_RAMP_M2,REV_CA_ACT+REV_US_ACT)),0)</f>
        <v>0</v>
      </c>
      <c r="D4" s="79" t="n">
        <f aca="false">IF(2&gt;=CAP_ARRIVAL,IF(2-CAP_ARRIVAL=0,REV_RAMP_M1,IF(2-CAP_ARRIVAL=1,REV_RAMP_M2,REV_CA_ACT+REV_US_ACT)),0)</f>
        <v>0</v>
      </c>
      <c r="E4" s="79" t="n">
        <f aca="false">IF(3&gt;=CAP_ARRIVAL,IF(3-CAP_ARRIVAL=0,REV_RAMP_M1,IF(3-CAP_ARRIVAL=1,REV_RAMP_M2,REV_CA_ACT+REV_US_ACT)),0)</f>
        <v>0</v>
      </c>
      <c r="F4" s="79" t="n">
        <f aca="false">IF(4&gt;=CAP_ARRIVAL,IF(4-CAP_ARRIVAL=0,REV_RAMP_M1,IF(4-CAP_ARRIVAL=1,REV_RAMP_M2,REV_CA_ACT+REV_US_ACT)),0)</f>
        <v>4</v>
      </c>
      <c r="G4" s="79" t="n">
        <f aca="false">IF(5&gt;=CAP_ARRIVAL,IF(5-CAP_ARRIVAL=0,REV_RAMP_M1,IF(5-CAP_ARRIVAL=1,REV_RAMP_M2,REV_CA_ACT+REV_US_ACT)),0)</f>
        <v>8</v>
      </c>
      <c r="H4" s="79" t="n">
        <f aca="false">IF(6&gt;=CAP_ARRIVAL,IF(6-CAP_ARRIVAL=0,REV_RAMP_M1,IF(6-CAP_ARRIVAL=1,REV_RAMP_M2,REV_CA_ACT+REV_US_ACT)),0)</f>
        <v>13</v>
      </c>
      <c r="I4" s="79" t="n">
        <f aca="false">IF(7&gt;=CAP_ARRIVAL,IF(7-CAP_ARRIVAL=0,REV_RAMP_M1,IF(7-CAP_ARRIVAL=1,REV_RAMP_M2,REV_CA_ACT+REV_US_ACT)),0)</f>
        <v>13</v>
      </c>
      <c r="J4" s="79" t="n">
        <f aca="false">IF(8&gt;=CAP_ARRIVAL,IF(8-CAP_ARRIVAL=0,REV_RAMP_M1,IF(8-CAP_ARRIVAL=1,REV_RAMP_M2,REV_CA_ACT+REV_US_ACT)),0)</f>
        <v>13</v>
      </c>
      <c r="K4" s="79" t="n">
        <f aca="false">IF(9&gt;=CAP_ARRIVAL,IF(9-CAP_ARRIVAL=0,REV_RAMP_M1,IF(9-CAP_ARRIVAL=1,REV_RAMP_M2,REV_CA_ACT+REV_US_ACT)),0)</f>
        <v>13</v>
      </c>
      <c r="L4" s="79" t="n">
        <f aca="false">IF(10&gt;=CAP_ARRIVAL,IF(10-CAP_ARRIVAL=0,REV_RAMP_M1,IF(10-CAP_ARRIVAL=1,REV_RAMP_M2,REV_CA_ACT+REV_US_ACT)),0)</f>
        <v>13</v>
      </c>
      <c r="M4" s="79" t="n">
        <f aca="false">IF(11&gt;=CAP_ARRIVAL,IF(11-CAP_ARRIVAL=0,REV_RAMP_M1,IF(11-CAP_ARRIVAL=1,REV_RAMP_M2,REV_CA_ACT+REV_US_ACT)),0)</f>
        <v>13</v>
      </c>
      <c r="N4" s="79" t="n">
        <f aca="false">IF(12&gt;=CAP_ARRIVAL,IF(12-CAP_ARRIVAL=0,REV_RAMP_M1,IF(12-CAP_ARRIVAL=1,REV_RAMP_M2,REV_CA_ACT+REV_US_ACT)),0)</f>
        <v>13</v>
      </c>
      <c r="O4" s="79" t="n">
        <f aca="false">IF(13&gt;=CAP_ARRIVAL,IF(13-CAP_ARRIVAL=0,REV_RAMP_M1,IF(13-CAP_ARRIVAL=1,REV_RAMP_M2,REV_CA_ACT+REV_US_ACT)),0)</f>
        <v>13</v>
      </c>
      <c r="P4" s="79" t="n">
        <f aca="false">IF(14&gt;=CAP_ARRIVAL,IF(14-CAP_ARRIVAL=0,REV_RAMP_M1,IF(14-CAP_ARRIVAL=1,REV_RAMP_M2,REV_CA_ACT+REV_US_ACT)),0)</f>
        <v>13</v>
      </c>
      <c r="Q4" s="79" t="n">
        <f aca="false">IF(15&gt;=CAP_ARRIVAL,IF(15-CAP_ARRIVAL=0,REV_RAMP_M1,IF(15-CAP_ARRIVAL=1,REV_RAMP_M2,REV_CA_ACT+REV_US_ACT)),0)</f>
        <v>13</v>
      </c>
      <c r="R4" s="79" t="n">
        <f aca="false">IF(16&gt;=CAP_ARRIVAL,IF(16-CAP_ARRIVAL=0,REV_RAMP_M1,IF(16-CAP_ARRIVAL=1,REV_RAMP_M2,REV_CA_ACT+REV_US_ACT)),0)</f>
        <v>13</v>
      </c>
      <c r="S4" s="79" t="n">
        <f aca="false">IF(17&gt;=CAP_ARRIVAL,IF(17-CAP_ARRIVAL=0,REV_RAMP_M1,IF(17-CAP_ARRIVAL=1,REV_RAMP_M2,REV_CA_ACT+REV_US_ACT)),0)</f>
        <v>13</v>
      </c>
    </row>
    <row r="5" customFormat="false" ht="15" hidden="false" customHeight="true" outlineLevel="0" collapsed="false">
      <c r="A5" s="1" t="s">
        <v>594</v>
      </c>
      <c r="B5" s="78" t="n">
        <v>42</v>
      </c>
      <c r="C5" s="79" t="n">
        <f aca="false">B5+C4</f>
        <v>42</v>
      </c>
      <c r="D5" s="79" t="n">
        <f aca="false">C5+D4</f>
        <v>42</v>
      </c>
      <c r="E5" s="79" t="n">
        <f aca="false">D5+E4</f>
        <v>42</v>
      </c>
      <c r="F5" s="79" t="n">
        <f aca="false">E5+F4</f>
        <v>46</v>
      </c>
      <c r="G5" s="79" t="n">
        <f aca="false">F5+G4</f>
        <v>54</v>
      </c>
      <c r="H5" s="79" t="n">
        <f aca="false">G5+H4</f>
        <v>67</v>
      </c>
      <c r="I5" s="79" t="n">
        <f aca="false">H5+I4</f>
        <v>80</v>
      </c>
      <c r="J5" s="79" t="n">
        <f aca="false">I5+J4</f>
        <v>93</v>
      </c>
      <c r="K5" s="79" t="n">
        <f aca="false">J5+K4</f>
        <v>106</v>
      </c>
      <c r="L5" s="79" t="n">
        <f aca="false">K5+L4</f>
        <v>119</v>
      </c>
      <c r="M5" s="79" t="n">
        <f aca="false">L5+M4</f>
        <v>132</v>
      </c>
      <c r="N5" s="79" t="n">
        <f aca="false">M5+N4</f>
        <v>145</v>
      </c>
      <c r="O5" s="79" t="n">
        <f aca="false">N5+O4</f>
        <v>158</v>
      </c>
      <c r="P5" s="79" t="n">
        <f aca="false">O5+P4</f>
        <v>171</v>
      </c>
      <c r="Q5" s="79" t="n">
        <f aca="false">P5+Q4</f>
        <v>184</v>
      </c>
      <c r="R5" s="79" t="n">
        <f aca="false">Q5+R4</f>
        <v>197</v>
      </c>
      <c r="S5" s="79" t="n">
        <f aca="false">R5+S4</f>
        <v>210</v>
      </c>
    </row>
    <row r="6" customFormat="false" ht="15" hidden="false" customHeight="true" outlineLevel="0" collapsed="false">
      <c r="A6" s="1" t="s">
        <v>595</v>
      </c>
      <c r="B6" s="78" t="n">
        <v>0</v>
      </c>
      <c r="C6" s="79" t="n">
        <v>0</v>
      </c>
      <c r="D6" s="79" t="n">
        <v>0</v>
      </c>
      <c r="E6" s="79" t="n">
        <v>0</v>
      </c>
      <c r="F6" s="79" t="n">
        <f aca="false">C5</f>
        <v>42</v>
      </c>
      <c r="G6" s="79" t="n">
        <f aca="false">D5</f>
        <v>42</v>
      </c>
      <c r="H6" s="79" t="n">
        <f aca="false">E5</f>
        <v>42</v>
      </c>
      <c r="I6" s="79" t="n">
        <f aca="false">F5</f>
        <v>46</v>
      </c>
      <c r="J6" s="79" t="n">
        <f aca="false">G5</f>
        <v>54</v>
      </c>
      <c r="K6" s="79" t="n">
        <f aca="false">H5</f>
        <v>67</v>
      </c>
      <c r="L6" s="79" t="n">
        <f aca="false">I5</f>
        <v>80</v>
      </c>
      <c r="M6" s="79" t="n">
        <f aca="false">J5</f>
        <v>93</v>
      </c>
      <c r="N6" s="79" t="n">
        <f aca="false">K5</f>
        <v>106</v>
      </c>
      <c r="O6" s="79" t="n">
        <f aca="false">L5</f>
        <v>119</v>
      </c>
      <c r="P6" s="79" t="n">
        <f aca="false">M5</f>
        <v>132</v>
      </c>
      <c r="Q6" s="79" t="n">
        <f aca="false">N5</f>
        <v>145</v>
      </c>
      <c r="R6" s="79" t="n">
        <f aca="false">O5</f>
        <v>158</v>
      </c>
      <c r="S6" s="79" t="n">
        <f aca="false">P5</f>
        <v>171</v>
      </c>
    </row>
    <row r="7" customFormat="false" ht="15" hidden="false" customHeight="true" outlineLevel="0" collapsed="false">
      <c r="A7" s="1" t="s">
        <v>596</v>
      </c>
      <c r="B7" s="78" t="n">
        <v>0</v>
      </c>
      <c r="C7" s="79" t="n">
        <f aca="false">C6*REV_REORDER_PROB</f>
        <v>0</v>
      </c>
      <c r="D7" s="79" t="n">
        <f aca="false">D6*REV_REORDER_PROB</f>
        <v>0</v>
      </c>
      <c r="E7" s="79" t="n">
        <f aca="false">E6*REV_REORDER_PROB</f>
        <v>0</v>
      </c>
      <c r="F7" s="79" t="n">
        <f aca="false">F6*REV_REORDER_PROB</f>
        <v>29.4</v>
      </c>
      <c r="G7" s="79" t="n">
        <f aca="false">G6*REV_REORDER_PROB</f>
        <v>29.4</v>
      </c>
      <c r="H7" s="79" t="n">
        <f aca="false">H6*REV_REORDER_PROB</f>
        <v>29.4</v>
      </c>
      <c r="I7" s="79" t="n">
        <f aca="false">I6*REV_REORDER_PROB</f>
        <v>32.2</v>
      </c>
      <c r="J7" s="79" t="n">
        <f aca="false">J6*REV_REORDER_PROB</f>
        <v>37.8</v>
      </c>
      <c r="K7" s="79" t="n">
        <f aca="false">K6*REV_REORDER_PROB</f>
        <v>46.9</v>
      </c>
      <c r="L7" s="79" t="n">
        <f aca="false">L6*REV_REORDER_PROB</f>
        <v>56</v>
      </c>
      <c r="M7" s="79" t="n">
        <f aca="false">M6*REV_REORDER_PROB</f>
        <v>65.1</v>
      </c>
      <c r="N7" s="79" t="n">
        <f aca="false">N6*REV_REORDER_PROB</f>
        <v>74.2</v>
      </c>
      <c r="O7" s="79" t="n">
        <f aca="false">O6*REV_REORDER_PROB</f>
        <v>83.3</v>
      </c>
      <c r="P7" s="79" t="n">
        <f aca="false">P6*REV_REORDER_PROB</f>
        <v>92.4</v>
      </c>
      <c r="Q7" s="79" t="n">
        <f aca="false">Q6*REV_REORDER_PROB</f>
        <v>101.5</v>
      </c>
      <c r="R7" s="79" t="n">
        <f aca="false">R6*REV_REORDER_PROB</f>
        <v>110.6</v>
      </c>
      <c r="S7" s="79" t="n">
        <f aca="false">S6*REV_REORDER_PROB</f>
        <v>119.7</v>
      </c>
    </row>
    <row r="8" customFormat="false" ht="15" hidden="false" customHeight="true" outlineLevel="0" collapsed="false">
      <c r="A8" s="1" t="s">
        <v>597</v>
      </c>
      <c r="B8" s="78" t="n">
        <v>0</v>
      </c>
      <c r="C8" s="79" t="n">
        <f aca="false">C4*REV_INIT_ORDER</f>
        <v>0</v>
      </c>
      <c r="D8" s="79" t="n">
        <f aca="false">D4*REV_INIT_ORDER</f>
        <v>0</v>
      </c>
      <c r="E8" s="79" t="n">
        <f aca="false">E4*REV_INIT_ORDER</f>
        <v>0</v>
      </c>
      <c r="F8" s="79" t="n">
        <f aca="false">F4*REV_INIT_ORDER</f>
        <v>96</v>
      </c>
      <c r="G8" s="79" t="n">
        <f aca="false">G4*REV_INIT_ORDER</f>
        <v>192</v>
      </c>
      <c r="H8" s="79" t="n">
        <f aca="false">H4*REV_INIT_ORDER</f>
        <v>312</v>
      </c>
      <c r="I8" s="79" t="n">
        <f aca="false">I4*REV_INIT_ORDER</f>
        <v>312</v>
      </c>
      <c r="J8" s="79" t="n">
        <f aca="false">J4*REV_INIT_ORDER</f>
        <v>312</v>
      </c>
      <c r="K8" s="79" t="n">
        <f aca="false">K4*REV_INIT_ORDER</f>
        <v>312</v>
      </c>
      <c r="L8" s="79" t="n">
        <f aca="false">L4*REV_INIT_ORDER</f>
        <v>312</v>
      </c>
      <c r="M8" s="79" t="n">
        <f aca="false">M4*REV_INIT_ORDER</f>
        <v>312</v>
      </c>
      <c r="N8" s="79" t="n">
        <f aca="false">N4*REV_INIT_ORDER</f>
        <v>312</v>
      </c>
      <c r="O8" s="79" t="n">
        <f aca="false">O4*REV_INIT_ORDER</f>
        <v>312</v>
      </c>
      <c r="P8" s="79" t="n">
        <f aca="false">P4*REV_INIT_ORDER</f>
        <v>312</v>
      </c>
      <c r="Q8" s="79" t="n">
        <f aca="false">Q4*REV_INIT_ORDER</f>
        <v>312</v>
      </c>
      <c r="R8" s="79" t="n">
        <f aca="false">R4*REV_INIT_ORDER</f>
        <v>312</v>
      </c>
      <c r="S8" s="79" t="n">
        <f aca="false">S4*REV_INIT_ORDER</f>
        <v>312</v>
      </c>
    </row>
    <row r="9" customFormat="false" ht="15" hidden="false" customHeight="true" outlineLevel="0" collapsed="false">
      <c r="A9" s="1" t="s">
        <v>598</v>
      </c>
      <c r="B9" s="78" t="n">
        <v>0</v>
      </c>
      <c r="C9" s="79" t="n">
        <f aca="false">C7*REV_REORDER_SIZE</f>
        <v>0</v>
      </c>
      <c r="D9" s="79" t="n">
        <f aca="false">D7*REV_REORDER_SIZE</f>
        <v>0</v>
      </c>
      <c r="E9" s="79" t="n">
        <f aca="false">E7*REV_REORDER_SIZE</f>
        <v>0</v>
      </c>
      <c r="F9" s="79" t="n">
        <f aca="false">F7*REV_REORDER_SIZE</f>
        <v>646.8</v>
      </c>
      <c r="G9" s="79" t="n">
        <f aca="false">G7*REV_REORDER_SIZE</f>
        <v>646.8</v>
      </c>
      <c r="H9" s="79" t="n">
        <f aca="false">H7*REV_REORDER_SIZE</f>
        <v>646.8</v>
      </c>
      <c r="I9" s="79" t="n">
        <f aca="false">I7*REV_REORDER_SIZE</f>
        <v>708.4</v>
      </c>
      <c r="J9" s="79" t="n">
        <f aca="false">J7*REV_REORDER_SIZE</f>
        <v>831.6</v>
      </c>
      <c r="K9" s="79" t="n">
        <f aca="false">K7*REV_REORDER_SIZE</f>
        <v>1031.8</v>
      </c>
      <c r="L9" s="79" t="n">
        <f aca="false">L7*REV_REORDER_SIZE</f>
        <v>1232</v>
      </c>
      <c r="M9" s="79" t="n">
        <f aca="false">M7*REV_REORDER_SIZE</f>
        <v>1432.2</v>
      </c>
      <c r="N9" s="79" t="n">
        <f aca="false">N7*REV_REORDER_SIZE</f>
        <v>1632.4</v>
      </c>
      <c r="O9" s="79" t="n">
        <f aca="false">O7*REV_REORDER_SIZE</f>
        <v>1832.6</v>
      </c>
      <c r="P9" s="79" t="n">
        <f aca="false">P7*REV_REORDER_SIZE</f>
        <v>2032.8</v>
      </c>
      <c r="Q9" s="79" t="n">
        <f aca="false">Q7*REV_REORDER_SIZE</f>
        <v>2233</v>
      </c>
      <c r="R9" s="79" t="n">
        <f aca="false">R7*REV_REORDER_SIZE</f>
        <v>2433.2</v>
      </c>
      <c r="S9" s="79" t="n">
        <f aca="false">S7*REV_REORDER_SIZE</f>
        <v>2633.4</v>
      </c>
    </row>
    <row r="10" customFormat="false" ht="15" hidden="false" customHeight="true" outlineLevel="0" collapsed="false">
      <c r="A10" s="1" t="s">
        <v>599</v>
      </c>
      <c r="B10" s="78" t="n">
        <v>0</v>
      </c>
      <c r="C10" s="79" t="n">
        <f aca="false">IF(1=CAP_ARRIVAL,CAP_BACKLOG,0)</f>
        <v>0</v>
      </c>
      <c r="D10" s="79" t="n">
        <f aca="false">IF(2=CAP_ARRIVAL,CAP_BACKLOG,0)</f>
        <v>0</v>
      </c>
      <c r="E10" s="79" t="n">
        <f aca="false">IF(3=CAP_ARRIVAL,CAP_BACKLOG,0)</f>
        <v>0</v>
      </c>
      <c r="F10" s="79" t="n">
        <f aca="false">IF(4=CAP_ARRIVAL,CAP_BACKLOG,0)</f>
        <v>1688</v>
      </c>
      <c r="G10" s="79" t="n">
        <f aca="false">IF(5=CAP_ARRIVAL,CAP_BACKLOG,0)</f>
        <v>0</v>
      </c>
      <c r="H10" s="79" t="n">
        <f aca="false">IF(6=CAP_ARRIVAL,CAP_BACKLOG,0)</f>
        <v>0</v>
      </c>
      <c r="I10" s="79" t="n">
        <f aca="false">IF(7=CAP_ARRIVAL,CAP_BACKLOG,0)</f>
        <v>0</v>
      </c>
      <c r="J10" s="79" t="n">
        <f aca="false">IF(8=CAP_ARRIVAL,CAP_BACKLOG,0)</f>
        <v>0</v>
      </c>
      <c r="K10" s="79" t="n">
        <f aca="false">IF(9=CAP_ARRIVAL,CAP_BACKLOG,0)</f>
        <v>0</v>
      </c>
      <c r="L10" s="79" t="n">
        <f aca="false">IF(10=CAP_ARRIVAL,CAP_BACKLOG,0)</f>
        <v>0</v>
      </c>
      <c r="M10" s="79" t="n">
        <f aca="false">IF(11=CAP_ARRIVAL,CAP_BACKLOG,0)</f>
        <v>0</v>
      </c>
      <c r="N10" s="79" t="n">
        <f aca="false">IF(12=CAP_ARRIVAL,CAP_BACKLOG,0)</f>
        <v>0</v>
      </c>
      <c r="O10" s="79" t="n">
        <f aca="false">IF(13=CAP_ARRIVAL,CAP_BACKLOG,0)</f>
        <v>0</v>
      </c>
      <c r="P10" s="79" t="n">
        <f aca="false">IF(14=CAP_ARRIVAL,CAP_BACKLOG,0)</f>
        <v>0</v>
      </c>
      <c r="Q10" s="79" t="n">
        <f aca="false">IF(15=CAP_ARRIVAL,CAP_BACKLOG,0)</f>
        <v>0</v>
      </c>
      <c r="R10" s="79" t="n">
        <f aca="false">IF(16=CAP_ARRIVAL,CAP_BACKLOG,0)</f>
        <v>0</v>
      </c>
      <c r="S10" s="79" t="n">
        <f aca="false">IF(17=CAP_ARRIVAL,CAP_BACKLOG,0)</f>
        <v>0</v>
      </c>
    </row>
    <row r="11" customFormat="false" ht="15" hidden="false" customHeight="true" outlineLevel="0" collapsed="false">
      <c r="A11" s="76" t="s">
        <v>600</v>
      </c>
      <c r="B11" s="78" t="n">
        <v>0</v>
      </c>
      <c r="C11" s="80" t="n">
        <f aca="false">MIN(C8+C9+C10,4_WC!B14+4_WC!C12)</f>
        <v>0</v>
      </c>
      <c r="D11" s="80" t="n">
        <f aca="false">MIN(D8+D9+D10,4_WC!C14+4_WC!D12)</f>
        <v>0</v>
      </c>
      <c r="E11" s="80" t="n">
        <f aca="false">MIN(E8+E9+E10,4_WC!D14+4_WC!E12)</f>
        <v>0</v>
      </c>
      <c r="F11" s="80" t="n">
        <f aca="false">MIN(F8+F9+F10,4_WC!E14+4_WC!F12)</f>
        <v>2024</v>
      </c>
      <c r="G11" s="80" t="n">
        <f aca="false">MIN(G8+G9+G10,4_WC!F14+4_WC!G12)</f>
        <v>0</v>
      </c>
      <c r="H11" s="80" t="n">
        <f aca="false">MIN(H8+H9+H10,4_WC!G14+4_WC!H12)</f>
        <v>0</v>
      </c>
      <c r="I11" s="80" t="n">
        <f aca="false">MIN(I8+I9+I10,4_WC!H14+4_WC!I12)</f>
        <v>0</v>
      </c>
      <c r="J11" s="80" t="n">
        <f aca="false">MIN(J8+J9+J10,4_WC!I14+4_WC!J12)</f>
        <v>0</v>
      </c>
      <c r="K11" s="80" t="n">
        <f aca="false">MIN(K8+K9+K10,4_WC!J14+4_WC!K12)</f>
        <v>1343.8</v>
      </c>
      <c r="L11" s="80" t="n">
        <f aca="false">MIN(L8+L9+L10,4_WC!K14+4_WC!L12)</f>
        <v>1544</v>
      </c>
      <c r="M11" s="80" t="n">
        <f aca="false">MIN(M8+M9+M10,4_WC!L14+4_WC!M12)</f>
        <v>112.2</v>
      </c>
      <c r="N11" s="80" t="n">
        <f aca="false">MIN(N8+N9+N10,4_WC!M14+4_WC!N12)</f>
        <v>0</v>
      </c>
      <c r="O11" s="80" t="n">
        <f aca="false">MIN(O8+O9+O10,4_WC!N14+4_WC!O12)</f>
        <v>0</v>
      </c>
      <c r="P11" s="80" t="n">
        <f aca="false">MIN(P8+P9+P10,4_WC!O14+4_WC!P12)</f>
        <v>0</v>
      </c>
      <c r="Q11" s="80" t="n">
        <f aca="false">MIN(Q8+Q9+Q10,4_WC!P14+4_WC!Q12)</f>
        <v>0</v>
      </c>
      <c r="R11" s="80" t="n">
        <f aca="false">MIN(R8+R9+R10,4_WC!Q14+4_WC!R12)</f>
        <v>0</v>
      </c>
      <c r="S11" s="80" t="n">
        <f aca="false">MIN(S8+S9+S10,4_WC!R14+4_WC!S12)</f>
        <v>0</v>
      </c>
    </row>
    <row r="12" customFormat="false" ht="15" hidden="false" customHeight="true" outlineLevel="0" collapsed="false">
      <c r="A12" s="1" t="s">
        <v>601</v>
      </c>
      <c r="B12" s="1" t="n">
        <v>0</v>
      </c>
      <c r="C12" s="1" t="n">
        <f aca="false">MAX(0,B12*(1-CAP_CANCEL_RATE)+MAX(0,(C8+C9+C10)-C11))</f>
        <v>0</v>
      </c>
      <c r="D12" s="1" t="n">
        <f aca="false">MAX(0,C12*(1-CAP_CANCEL_RATE)+MAX(0,(D8+D9+D10)-D11))</f>
        <v>0</v>
      </c>
      <c r="E12" s="1" t="n">
        <f aca="false">MAX(0,D12*(1-CAP_CANCEL_RATE)+MAX(0,(E8+E9+E10)-E11))</f>
        <v>0</v>
      </c>
      <c r="F12" s="1" t="n">
        <f aca="false">MAX(0,E12*(1-CAP_CANCEL_RATE)+MAX(0,(F8+F9+F10)-F11))</f>
        <v>406.8</v>
      </c>
      <c r="G12" s="1" t="n">
        <f aca="false">MAX(0,F12*(1-CAP_CANCEL_RATE)+MAX(0,(G8+G9+G10)-G11))</f>
        <v>1204.92</v>
      </c>
      <c r="H12" s="1" t="n">
        <f aca="false">MAX(0,G12*(1-CAP_CANCEL_RATE)+MAX(0,(H8+H9+H10)-H11))</f>
        <v>2043.228</v>
      </c>
      <c r="I12" s="1" t="n">
        <f aca="false">MAX(0,H12*(1-CAP_CANCEL_RATE)+MAX(0,(I8+I9+I10)-I11))</f>
        <v>2859.3052</v>
      </c>
      <c r="J12" s="1" t="n">
        <f aca="false">MAX(0,I12*(1-CAP_CANCEL_RATE)+MAX(0,(J8+J9+J10)-J11))</f>
        <v>3716.97468</v>
      </c>
      <c r="K12" s="1" t="n">
        <f aca="false">MAX(0,J12*(1-CAP_CANCEL_RATE)+MAX(0,(K8+K9+K10)-K11))</f>
        <v>3345.277212</v>
      </c>
      <c r="L12" s="1" t="n">
        <f aca="false">MAX(0,K12*(1-CAP_CANCEL_RATE)+MAX(0,(L8+L9+L10)-L11))</f>
        <v>3010.7494908</v>
      </c>
      <c r="M12" s="1" t="n">
        <f aca="false">MAX(0,L12*(1-CAP_CANCEL_RATE)+MAX(0,(M8+M9+M10)-M11))</f>
        <v>4341.67454172</v>
      </c>
      <c r="N12" s="1" t="n">
        <f aca="false">MAX(0,M12*(1-CAP_CANCEL_RATE)+MAX(0,(N8+N9+N10)-N11))</f>
        <v>5851.907087548</v>
      </c>
      <c r="O12" s="1" t="n">
        <f aca="false">MAX(0,N12*(1-CAP_CANCEL_RATE)+MAX(0,(O8+O9+O10)-O11))</f>
        <v>7411.3163787932</v>
      </c>
      <c r="P12" s="1" t="n">
        <f aca="false">MAX(0,O12*(1-CAP_CANCEL_RATE)+MAX(0,(P8+P9+P10)-P11))</f>
        <v>9014.98474091388</v>
      </c>
      <c r="Q12" s="1" t="n">
        <f aca="false">MAX(0,P12*(1-CAP_CANCEL_RATE)+MAX(0,(Q8+Q9+Q10)-Q11))</f>
        <v>10658.4862668225</v>
      </c>
      <c r="R12" s="1" t="n">
        <f aca="false">MAX(0,Q12*(1-CAP_CANCEL_RATE)+MAX(0,(R8+R9+R10)-R11))</f>
        <v>12337.8376401402</v>
      </c>
      <c r="S12" s="1" t="n">
        <f aca="false">MAX(0,R12*(1-CAP_CANCEL_RATE)+MAX(0,(S8+S9+S10)-S11))</f>
        <v>14049.4538761262</v>
      </c>
    </row>
    <row r="13" customFormat="false" ht="15" hidden="false" customHeight="true" outlineLevel="0" collapsed="false">
      <c r="A13" s="1" t="s">
        <v>602</v>
      </c>
      <c r="B13" s="1" t="n">
        <v>0</v>
      </c>
      <c r="C13" s="1" t="n">
        <f aca="false">B12*CAP_CANCEL_RATE</f>
        <v>0</v>
      </c>
      <c r="D13" s="1" t="n">
        <f aca="false">C12*CAP_CANCEL_RATE</f>
        <v>0</v>
      </c>
      <c r="E13" s="1" t="n">
        <f aca="false">D12*CAP_CANCEL_RATE</f>
        <v>0</v>
      </c>
      <c r="F13" s="1" t="n">
        <f aca="false">E12*CAP_CANCEL_RATE</f>
        <v>0</v>
      </c>
      <c r="G13" s="1" t="n">
        <f aca="false">F12*CAP_CANCEL_RATE</f>
        <v>40.68</v>
      </c>
      <c r="H13" s="1" t="n">
        <f aca="false">G12*CAP_CANCEL_RATE</f>
        <v>120.492</v>
      </c>
      <c r="I13" s="1" t="n">
        <f aca="false">H12*CAP_CANCEL_RATE</f>
        <v>204.3228</v>
      </c>
      <c r="J13" s="1" t="n">
        <f aca="false">I12*CAP_CANCEL_RATE</f>
        <v>285.93052</v>
      </c>
      <c r="K13" s="1" t="n">
        <f aca="false">J12*CAP_CANCEL_RATE</f>
        <v>371.697468</v>
      </c>
      <c r="L13" s="1" t="n">
        <f aca="false">K12*CAP_CANCEL_RATE</f>
        <v>334.5277212</v>
      </c>
      <c r="M13" s="1" t="n">
        <f aca="false">L12*CAP_CANCEL_RATE</f>
        <v>301.07494908</v>
      </c>
      <c r="N13" s="1" t="n">
        <f aca="false">M12*CAP_CANCEL_RATE</f>
        <v>434.167454172</v>
      </c>
      <c r="O13" s="1" t="n">
        <f aca="false">N12*CAP_CANCEL_RATE</f>
        <v>585.1907087548</v>
      </c>
      <c r="P13" s="1" t="n">
        <f aca="false">O12*CAP_CANCEL_RATE</f>
        <v>741.13163787932</v>
      </c>
      <c r="Q13" s="1" t="n">
        <f aca="false">P12*CAP_CANCEL_RATE</f>
        <v>901.498474091388</v>
      </c>
      <c r="R13" s="1" t="n">
        <f aca="false">Q12*CAP_CANCEL_RATE</f>
        <v>1065.84862668225</v>
      </c>
      <c r="S13" s="1" t="n">
        <f aca="false">R12*CAP_CANCEL_RATE</f>
        <v>1233.78376401402</v>
      </c>
    </row>
    <row r="14" customFormat="false" ht="15" hidden="false" customHeight="true" outlineLevel="0" collapsed="false">
      <c r="A14" s="1" t="s">
        <v>603</v>
      </c>
      <c r="B14" s="81" t="n">
        <v>0</v>
      </c>
      <c r="C14" s="82" t="n">
        <f aca="false">C11*REV_PRICE</f>
        <v>0</v>
      </c>
      <c r="D14" s="82" t="n">
        <f aca="false">D11*REV_PRICE</f>
        <v>0</v>
      </c>
      <c r="E14" s="82" t="n">
        <f aca="false">E11*REV_PRICE</f>
        <v>0</v>
      </c>
      <c r="F14" s="82" t="n">
        <f aca="false">F11*REV_PRICE</f>
        <v>576840</v>
      </c>
      <c r="G14" s="82" t="n">
        <f aca="false">G11*REV_PRICE</f>
        <v>0</v>
      </c>
      <c r="H14" s="82" t="n">
        <f aca="false">H11*REV_PRICE</f>
        <v>0</v>
      </c>
      <c r="I14" s="82" t="n">
        <f aca="false">I11*REV_PRICE</f>
        <v>0</v>
      </c>
      <c r="J14" s="82" t="n">
        <f aca="false">J11*REV_PRICE</f>
        <v>0</v>
      </c>
      <c r="K14" s="82" t="n">
        <f aca="false">K11*REV_PRICE</f>
        <v>382983</v>
      </c>
      <c r="L14" s="82" t="n">
        <f aca="false">L11*REV_PRICE</f>
        <v>440040</v>
      </c>
      <c r="M14" s="82" t="n">
        <f aca="false">M11*REV_PRICE</f>
        <v>31977</v>
      </c>
      <c r="N14" s="82" t="n">
        <f aca="false">N11*REV_PRICE</f>
        <v>0</v>
      </c>
      <c r="O14" s="82" t="n">
        <f aca="false">O11*REV_PRICE</f>
        <v>0</v>
      </c>
      <c r="P14" s="82" t="n">
        <f aca="false">P11*REV_PRICE</f>
        <v>0</v>
      </c>
      <c r="Q14" s="82" t="n">
        <f aca="false">Q11*REV_PRICE</f>
        <v>0</v>
      </c>
      <c r="R14" s="82" t="n">
        <f aca="false">R11*REV_PRICE</f>
        <v>0</v>
      </c>
      <c r="S14" s="82" t="n">
        <f aca="false">S11*REV_PRICE</f>
        <v>0</v>
      </c>
    </row>
    <row r="15" customFormat="false" ht="15" hidden="false" customHeight="true" outlineLevel="0" collapsed="false">
      <c r="A15" s="1" t="s">
        <v>604</v>
      </c>
      <c r="B15" s="81" t="n">
        <v>0</v>
      </c>
      <c r="C15" s="82" t="n">
        <f aca="false">C14*REV_ATTACH_PCT</f>
        <v>0</v>
      </c>
      <c r="D15" s="82" t="n">
        <f aca="false">D14*REV_ATTACH_PCT</f>
        <v>0</v>
      </c>
      <c r="E15" s="82" t="n">
        <f aca="false">E14*REV_ATTACH_PCT</f>
        <v>0</v>
      </c>
      <c r="F15" s="82" t="n">
        <f aca="false">F14*REV_ATTACH_PCT</f>
        <v>28842</v>
      </c>
      <c r="G15" s="82" t="n">
        <f aca="false">G14*REV_ATTACH_PCT</f>
        <v>0</v>
      </c>
      <c r="H15" s="82" t="n">
        <f aca="false">H14*REV_ATTACH_PCT</f>
        <v>0</v>
      </c>
      <c r="I15" s="82" t="n">
        <f aca="false">I14*REV_ATTACH_PCT</f>
        <v>0</v>
      </c>
      <c r="J15" s="82" t="n">
        <f aca="false">J14*REV_ATTACH_PCT</f>
        <v>0</v>
      </c>
      <c r="K15" s="82" t="n">
        <f aca="false">K14*REV_ATTACH_PCT</f>
        <v>19149.15</v>
      </c>
      <c r="L15" s="82" t="n">
        <f aca="false">L14*REV_ATTACH_PCT</f>
        <v>22002</v>
      </c>
      <c r="M15" s="82" t="n">
        <f aca="false">M14*REV_ATTACH_PCT</f>
        <v>1598.85</v>
      </c>
      <c r="N15" s="82" t="n">
        <f aca="false">N14*REV_ATTACH_PCT</f>
        <v>0</v>
      </c>
      <c r="O15" s="82" t="n">
        <f aca="false">O14*REV_ATTACH_PCT</f>
        <v>0</v>
      </c>
      <c r="P15" s="82" t="n">
        <f aca="false">P14*REV_ATTACH_PCT</f>
        <v>0</v>
      </c>
      <c r="Q15" s="82" t="n">
        <f aca="false">Q14*REV_ATTACH_PCT</f>
        <v>0</v>
      </c>
      <c r="R15" s="82" t="n">
        <f aca="false">R14*REV_ATTACH_PCT</f>
        <v>0</v>
      </c>
      <c r="S15" s="82" t="n">
        <f aca="false">S14*REV_ATTACH_PCT</f>
        <v>0</v>
      </c>
    </row>
    <row r="16" customFormat="false" ht="15" hidden="false" customHeight="true" outlineLevel="0" collapsed="false">
      <c r="A16" s="76" t="s">
        <v>605</v>
      </c>
      <c r="B16" s="81" t="n">
        <v>0</v>
      </c>
      <c r="C16" s="83" t="n">
        <f aca="false">C14+C15</f>
        <v>0</v>
      </c>
      <c r="D16" s="83" t="n">
        <f aca="false">D14+D15</f>
        <v>0</v>
      </c>
      <c r="E16" s="83" t="n">
        <f aca="false">E14+E15</f>
        <v>0</v>
      </c>
      <c r="F16" s="83" t="n">
        <f aca="false">F14+F15</f>
        <v>605682</v>
      </c>
      <c r="G16" s="83" t="n">
        <f aca="false">G14+G15</f>
        <v>0</v>
      </c>
      <c r="H16" s="83" t="n">
        <f aca="false">H14+H15</f>
        <v>0</v>
      </c>
      <c r="I16" s="83" t="n">
        <f aca="false">I14+I15</f>
        <v>0</v>
      </c>
      <c r="J16" s="83" t="n">
        <f aca="false">J14+J15</f>
        <v>0</v>
      </c>
      <c r="K16" s="83" t="n">
        <f aca="false">K14+K15</f>
        <v>402132.15</v>
      </c>
      <c r="L16" s="83" t="n">
        <f aca="false">L14+L15</f>
        <v>462042</v>
      </c>
      <c r="M16" s="83" t="n">
        <f aca="false">M14+M15</f>
        <v>33575.85</v>
      </c>
      <c r="N16" s="83" t="n">
        <f aca="false">N14+N15</f>
        <v>0</v>
      </c>
      <c r="O16" s="83" t="n">
        <f aca="false">O14+O15</f>
        <v>0</v>
      </c>
      <c r="P16" s="83" t="n">
        <f aca="false">P14+P15</f>
        <v>0</v>
      </c>
      <c r="Q16" s="83" t="n">
        <f aca="false">Q14+Q15</f>
        <v>0</v>
      </c>
      <c r="R16" s="83" t="n">
        <f aca="false">R14+R15</f>
        <v>0</v>
      </c>
      <c r="S16" s="83" t="n">
        <f aca="false">S14+S15</f>
        <v>0</v>
      </c>
    </row>
    <row r="17" customFormat="false" ht="15" hidden="false" customHeight="true" outlineLevel="0" collapsed="false">
      <c r="A17" s="1" t="s">
        <v>606</v>
      </c>
      <c r="B17" s="81" t="n">
        <v>0</v>
      </c>
      <c r="C17" s="82" t="n">
        <f aca="false">C11*COST_COGS+IF(1=CAP_PO2_TRIGGER,IF(CAP_PO2_UNITS&lt;2000,CAP_NRE,0),0)</f>
        <v>0</v>
      </c>
      <c r="D17" s="82" t="n">
        <f aca="false">D11*COST_COGS+IF(2=CAP_PO2_TRIGGER,IF(CAP_PO2_UNITS&lt;2000,CAP_NRE,0),0)</f>
        <v>0</v>
      </c>
      <c r="E17" s="82" t="n">
        <f aca="false">E11*COST_COGS+IF(3=CAP_PO2_TRIGGER,IF(CAP_PO2_UNITS&lt;2000,CAP_NRE,0),0)</f>
        <v>0</v>
      </c>
      <c r="F17" s="82" t="n">
        <f aca="false">F11*COST_COGS+IF(4=CAP_PO2_TRIGGER,IF(CAP_PO2_UNITS&lt;2000,CAP_NRE,0),0)</f>
        <v>307648</v>
      </c>
      <c r="G17" s="82" t="n">
        <f aca="false">G11*COST_COGS+IF(5=CAP_PO2_TRIGGER,IF(CAP_PO2_UNITS&lt;2000,CAP_NRE,0),0)</f>
        <v>0</v>
      </c>
      <c r="H17" s="82" t="n">
        <f aca="false">H11*COST_COGS+IF(6=CAP_PO2_TRIGGER,IF(CAP_PO2_UNITS&lt;2000,CAP_NRE,0),0)</f>
        <v>0</v>
      </c>
      <c r="I17" s="82" t="n">
        <f aca="false">I11*COST_COGS+IF(7=CAP_PO2_TRIGGER,IF(CAP_PO2_UNITS&lt;2000,CAP_NRE,0),0)</f>
        <v>0</v>
      </c>
      <c r="J17" s="82" t="n">
        <f aca="false">J11*COST_COGS+IF(8=CAP_PO2_TRIGGER,IF(CAP_PO2_UNITS&lt;2000,CAP_NRE,0),0)</f>
        <v>0</v>
      </c>
      <c r="K17" s="82" t="n">
        <f aca="false">K11*COST_COGS+IF(9=CAP_PO2_TRIGGER,IF(CAP_PO2_UNITS&lt;2000,CAP_NRE,0),0)</f>
        <v>204257.6</v>
      </c>
      <c r="L17" s="82" t="n">
        <f aca="false">L11*COST_COGS+IF(10=CAP_PO2_TRIGGER,IF(CAP_PO2_UNITS&lt;2000,CAP_NRE,0),0)</f>
        <v>234688</v>
      </c>
      <c r="M17" s="82" t="n">
        <f aca="false">M11*COST_COGS+IF(11=CAP_PO2_TRIGGER,IF(CAP_PO2_UNITS&lt;2000,CAP_NRE,0),0)</f>
        <v>17054.4</v>
      </c>
      <c r="N17" s="82" t="n">
        <f aca="false">N11*COST_COGS+IF(12=CAP_PO2_TRIGGER,IF(CAP_PO2_UNITS&lt;2000,CAP_NRE,0),0)</f>
        <v>0</v>
      </c>
      <c r="O17" s="82" t="n">
        <f aca="false">O11*COST_COGS+IF(13=CAP_PO2_TRIGGER,IF(CAP_PO2_UNITS&lt;2000,CAP_NRE,0),0)</f>
        <v>0</v>
      </c>
      <c r="P17" s="82" t="n">
        <f aca="false">P11*COST_COGS+IF(14=CAP_PO2_TRIGGER,IF(CAP_PO2_UNITS&lt;2000,CAP_NRE,0),0)</f>
        <v>0</v>
      </c>
      <c r="Q17" s="82" t="n">
        <f aca="false">Q11*COST_COGS+IF(15=CAP_PO2_TRIGGER,IF(CAP_PO2_UNITS&lt;2000,CAP_NRE,0),0)</f>
        <v>0</v>
      </c>
      <c r="R17" s="82" t="n">
        <f aca="false">R11*COST_COGS+IF(16=CAP_PO2_TRIGGER,IF(CAP_PO2_UNITS&lt;2000,CAP_NRE,0),0)</f>
        <v>0</v>
      </c>
      <c r="S17" s="82" t="n">
        <f aca="false">S11*COST_COGS+IF(17=CAP_PO2_TRIGGER,IF(CAP_PO2_UNITS&lt;2000,CAP_NRE,0),0)</f>
        <v>0</v>
      </c>
    </row>
    <row r="18" customFormat="false" ht="15" hidden="false" customHeight="true" outlineLevel="0" collapsed="false">
      <c r="A18" s="76" t="s">
        <v>607</v>
      </c>
      <c r="B18" s="81" t="n">
        <v>0</v>
      </c>
      <c r="C18" s="83" t="n">
        <f aca="false">C16-C17</f>
        <v>0</v>
      </c>
      <c r="D18" s="83" t="n">
        <f aca="false">D16-D17</f>
        <v>0</v>
      </c>
      <c r="E18" s="83" t="n">
        <f aca="false">E16-E17</f>
        <v>0</v>
      </c>
      <c r="F18" s="83" t="n">
        <f aca="false">F16-F17</f>
        <v>298034</v>
      </c>
      <c r="G18" s="83" t="n">
        <f aca="false">G16-G17</f>
        <v>0</v>
      </c>
      <c r="H18" s="83" t="n">
        <f aca="false">H16-H17</f>
        <v>0</v>
      </c>
      <c r="I18" s="83" t="n">
        <f aca="false">I16-I17</f>
        <v>0</v>
      </c>
      <c r="J18" s="83" t="n">
        <f aca="false">J16-J17</f>
        <v>0</v>
      </c>
      <c r="K18" s="83" t="n">
        <f aca="false">K16-K17</f>
        <v>197874.55</v>
      </c>
      <c r="L18" s="83" t="n">
        <f aca="false">L16-L17</f>
        <v>227354</v>
      </c>
      <c r="M18" s="83" t="n">
        <f aca="false">M16-M17</f>
        <v>16521.45</v>
      </c>
      <c r="N18" s="83" t="n">
        <f aca="false">N16-N17</f>
        <v>0</v>
      </c>
      <c r="O18" s="83" t="n">
        <f aca="false">O16-O17</f>
        <v>0</v>
      </c>
      <c r="P18" s="83" t="n">
        <f aca="false">P16-P17</f>
        <v>0</v>
      </c>
      <c r="Q18" s="83" t="n">
        <f aca="false">Q16-Q17</f>
        <v>0</v>
      </c>
      <c r="R18" s="83" t="n">
        <f aca="false">R16-R17</f>
        <v>0</v>
      </c>
      <c r="S18" s="83" t="n">
        <f aca="false">S16-S17</f>
        <v>0</v>
      </c>
    </row>
    <row r="19" customFormat="false" ht="15" hidden="false" customHeight="true" outlineLevel="0" collapsed="false">
      <c r="A19" s="1" t="s">
        <v>608</v>
      </c>
      <c r="B19" s="66" t="n">
        <v>0</v>
      </c>
      <c r="C19" s="84" t="n">
        <f aca="false">IF(C16=0,0,C18/C16)</f>
        <v>0</v>
      </c>
      <c r="D19" s="84" t="n">
        <f aca="false">IF(D16=0,0,D18/D16)</f>
        <v>0</v>
      </c>
      <c r="E19" s="84" t="n">
        <f aca="false">IF(E16=0,0,E18/E16)</f>
        <v>0</v>
      </c>
      <c r="F19" s="84" t="n">
        <f aca="false">IF(F16=0,0,F18/F16)</f>
        <v>0.492063492063492</v>
      </c>
      <c r="G19" s="84" t="n">
        <f aca="false">IF(G16=0,0,G18/G16)</f>
        <v>0</v>
      </c>
      <c r="H19" s="84" t="n">
        <f aca="false">IF(H16=0,0,H18/H16)</f>
        <v>0</v>
      </c>
      <c r="I19" s="84" t="n">
        <f aca="false">IF(I16=0,0,I18/I16)</f>
        <v>0</v>
      </c>
      <c r="J19" s="84" t="n">
        <f aca="false">IF(J16=0,0,J18/J16)</f>
        <v>0</v>
      </c>
      <c r="K19" s="84" t="n">
        <f aca="false">IF(K16=0,0,K18/K16)</f>
        <v>0.492063492063492</v>
      </c>
      <c r="L19" s="84" t="n">
        <f aca="false">IF(L16=0,0,L18/L16)</f>
        <v>0.492063492063492</v>
      </c>
      <c r="M19" s="84" t="n">
        <f aca="false">IF(M16=0,0,M18/M16)</f>
        <v>0.492063492063492</v>
      </c>
      <c r="N19" s="84" t="n">
        <f aca="false">IF(N16=0,0,N18/N16)</f>
        <v>0</v>
      </c>
      <c r="O19" s="84" t="n">
        <f aca="false">IF(O16=0,0,O18/O16)</f>
        <v>0</v>
      </c>
      <c r="P19" s="84" t="n">
        <f aca="false">IF(P16=0,0,P18/P16)</f>
        <v>0</v>
      </c>
      <c r="Q19" s="84" t="n">
        <f aca="false">IF(Q16=0,0,Q18/Q16)</f>
        <v>0</v>
      </c>
      <c r="R19" s="84" t="n">
        <f aca="false">IF(R16=0,0,R18/R16)</f>
        <v>0</v>
      </c>
      <c r="S19" s="84" t="n">
        <f aca="false">IF(S16=0,0,S18/S16)</f>
        <v>0</v>
      </c>
    </row>
    <row r="20" customFormat="false" ht="15" hidden="false" customHeight="true" outlineLevel="0" collapsed="false">
      <c r="A20" s="1" t="s">
        <v>609</v>
      </c>
      <c r="B20" s="1" t="n">
        <v>0</v>
      </c>
      <c r="C20" s="1" t="n">
        <f aca="false">IF(DTC_ENABLED=1,IF(1&gt;=DTC_LAUNCH,MIN(MIN(DTC_INITIAL*(1+DTC_GROWTH)^(1-DTC_LAUNCH),DTC_MAX),MAX(0,4_WC!B14+4_WC!C12-C11)),0),0)</f>
        <v>0</v>
      </c>
      <c r="D20" s="1" t="n">
        <f aca="false">IF(DTC_ENABLED=1,IF(2&gt;=DTC_LAUNCH,MIN(MIN(DTC_INITIAL*(1+DTC_GROWTH)^(2-DTC_LAUNCH),DTC_MAX),MAX(0,4_WC!C14+4_WC!D12-D11)),0),0)</f>
        <v>0</v>
      </c>
      <c r="E20" s="1" t="n">
        <f aca="false">IF(DTC_ENABLED=1,IF(3&gt;=DTC_LAUNCH,MIN(MIN(DTC_INITIAL*(1+DTC_GROWTH)^(3-DTC_LAUNCH),DTC_MAX),MAX(0,4_WC!D14+4_WC!E12-E11)),0),0)</f>
        <v>0</v>
      </c>
      <c r="F20" s="1" t="n">
        <f aca="false">IF(DTC_ENABLED=1,IF(4&gt;=DTC_LAUNCH,MIN(MIN(DTC_INITIAL*(1+DTC_GROWTH)^(4-DTC_LAUNCH),DTC_MAX),MAX(0,4_WC!E14+4_WC!F12-F11)),0),0)</f>
        <v>0</v>
      </c>
      <c r="G20" s="1" t="n">
        <f aca="false">IF(DTC_ENABLED=1,IF(5&gt;=DTC_LAUNCH,MIN(MIN(DTC_INITIAL*(1+DTC_GROWTH)^(5-DTC_LAUNCH),DTC_MAX),MAX(0,4_WC!F14+4_WC!G12-G11)),0),0)</f>
        <v>0</v>
      </c>
      <c r="H20" s="1" t="n">
        <f aca="false">IF(DTC_ENABLED=1,IF(6&gt;=DTC_LAUNCH,MIN(MIN(DTC_INITIAL*(1+DTC_GROWTH)^(6-DTC_LAUNCH),DTC_MAX),MAX(0,4_WC!G14+4_WC!H12-H11)),0),0)</f>
        <v>0</v>
      </c>
      <c r="I20" s="1" t="n">
        <f aca="false">IF(DTC_ENABLED=1,IF(7&gt;=DTC_LAUNCH,MIN(MIN(DTC_INITIAL*(1+DTC_GROWTH)^(7-DTC_LAUNCH),DTC_MAX),MAX(0,4_WC!H14+4_WC!I12-I11)),0),0)</f>
        <v>0</v>
      </c>
      <c r="J20" s="1" t="n">
        <f aca="false">IF(DTC_ENABLED=1,IF(8&gt;=DTC_LAUNCH,MIN(MIN(DTC_INITIAL*(1+DTC_GROWTH)^(8-DTC_LAUNCH),DTC_MAX),MAX(0,4_WC!I14+4_WC!J12-J11)),0),0)</f>
        <v>0</v>
      </c>
      <c r="K20" s="1" t="n">
        <f aca="false">IF(DTC_ENABLED=1,IF(9&gt;=DTC_LAUNCH,MIN(MIN(DTC_INITIAL*(1+DTC_GROWTH)^(9-DTC_LAUNCH),DTC_MAX),MAX(0,4_WC!J14+4_WC!K12-K11)),0),0)</f>
        <v>0</v>
      </c>
      <c r="L20" s="1" t="n">
        <f aca="false">IF(DTC_ENABLED=1,IF(10&gt;=DTC_LAUNCH,MIN(MIN(DTC_INITIAL*(1+DTC_GROWTH)^(10-DTC_LAUNCH),DTC_MAX),MAX(0,4_WC!K14+4_WC!L12-L11)),0),0)</f>
        <v>0</v>
      </c>
      <c r="M20" s="1" t="n">
        <f aca="false">IF(DTC_ENABLED=1,IF(11&gt;=DTC_LAUNCH,MIN(MIN(DTC_INITIAL*(1+DTC_GROWTH)^(11-DTC_LAUNCH),DTC_MAX),MAX(0,4_WC!L14+4_WC!M12-M11)),0),0)</f>
        <v>0</v>
      </c>
      <c r="N20" s="1" t="n">
        <f aca="false">IF(DTC_ENABLED=1,IF(12&gt;=DTC_LAUNCH,MIN(MIN(DTC_INITIAL*(1+DTC_GROWTH)^(12-DTC_LAUNCH),DTC_MAX),MAX(0,4_WC!M14+4_WC!N12-N11)),0),0)</f>
        <v>0</v>
      </c>
      <c r="O20" s="1" t="n">
        <f aca="false">IF(DTC_ENABLED=1,IF(13&gt;=DTC_LAUNCH,MIN(MIN(DTC_INITIAL*(1+DTC_GROWTH)^(13-DTC_LAUNCH),DTC_MAX),MAX(0,4_WC!N14+4_WC!O12-O11)),0),0)</f>
        <v>0</v>
      </c>
      <c r="P20" s="1" t="n">
        <f aca="false">IF(DTC_ENABLED=1,IF(14&gt;=DTC_LAUNCH,MIN(MIN(DTC_INITIAL*(1+DTC_GROWTH)^(14-DTC_LAUNCH),DTC_MAX),MAX(0,4_WC!O14+4_WC!P12-P11)),0),0)</f>
        <v>0</v>
      </c>
      <c r="Q20" s="1" t="n">
        <f aca="false">IF(DTC_ENABLED=1,IF(15&gt;=DTC_LAUNCH,MIN(MIN(DTC_INITIAL*(1+DTC_GROWTH)^(15-DTC_LAUNCH),DTC_MAX),MAX(0,4_WC!P14+4_WC!Q12-Q11)),0),0)</f>
        <v>0</v>
      </c>
      <c r="R20" s="1" t="n">
        <f aca="false">IF(DTC_ENABLED=1,IF(16&gt;=DTC_LAUNCH,MIN(MIN(DTC_INITIAL*(1+DTC_GROWTH)^(16-DTC_LAUNCH),DTC_MAX),MAX(0,4_WC!Q14+4_WC!R12-R11)),0),0)</f>
        <v>0</v>
      </c>
      <c r="S20" s="1" t="n">
        <f aca="false">IF(DTC_ENABLED=1,IF(17&gt;=DTC_LAUNCH,MIN(MIN(DTC_INITIAL*(1+DTC_GROWTH)^(17-DTC_LAUNCH),DTC_MAX),MAX(0,4_WC!R14+4_WC!S12-S11)),0),0)</f>
        <v>0</v>
      </c>
    </row>
    <row r="21" customFormat="false" ht="15" hidden="false" customHeight="true" outlineLevel="0" collapsed="false">
      <c r="A21" s="1" t="s">
        <v>610</v>
      </c>
      <c r="B21" s="1" t="n">
        <v>0</v>
      </c>
      <c r="C21" s="1" t="n">
        <f aca="false">C20*(1-DTC_RETURN)</f>
        <v>0</v>
      </c>
      <c r="D21" s="1" t="n">
        <f aca="false">D20*(1-DTC_RETURN)</f>
        <v>0</v>
      </c>
      <c r="E21" s="1" t="n">
        <f aca="false">E20*(1-DTC_RETURN)</f>
        <v>0</v>
      </c>
      <c r="F21" s="1" t="n">
        <f aca="false">F20*(1-DTC_RETURN)</f>
        <v>0</v>
      </c>
      <c r="G21" s="1" t="n">
        <f aca="false">G20*(1-DTC_RETURN)</f>
        <v>0</v>
      </c>
      <c r="H21" s="1" t="n">
        <f aca="false">H20*(1-DTC_RETURN)</f>
        <v>0</v>
      </c>
      <c r="I21" s="1" t="n">
        <f aca="false">I20*(1-DTC_RETURN)</f>
        <v>0</v>
      </c>
      <c r="J21" s="1" t="n">
        <f aca="false">J20*(1-DTC_RETURN)</f>
        <v>0</v>
      </c>
      <c r="K21" s="1" t="n">
        <f aca="false">K20*(1-DTC_RETURN)</f>
        <v>0</v>
      </c>
      <c r="L21" s="1" t="n">
        <f aca="false">L20*(1-DTC_RETURN)</f>
        <v>0</v>
      </c>
      <c r="M21" s="1" t="n">
        <f aca="false">M20*(1-DTC_RETURN)</f>
        <v>0</v>
      </c>
      <c r="N21" s="1" t="n">
        <f aca="false">N20*(1-DTC_RETURN)</f>
        <v>0</v>
      </c>
      <c r="O21" s="1" t="n">
        <f aca="false">O20*(1-DTC_RETURN)</f>
        <v>0</v>
      </c>
      <c r="P21" s="1" t="n">
        <f aca="false">P20*(1-DTC_RETURN)</f>
        <v>0</v>
      </c>
      <c r="Q21" s="1" t="n">
        <f aca="false">Q20*(1-DTC_RETURN)</f>
        <v>0</v>
      </c>
      <c r="R21" s="1" t="n">
        <f aca="false">R20*(1-DTC_RETURN)</f>
        <v>0</v>
      </c>
      <c r="S21" s="1" t="n">
        <f aca="false">S20*(1-DTC_RETURN)</f>
        <v>0</v>
      </c>
    </row>
    <row r="22" customFormat="false" ht="15" hidden="false" customHeight="true" outlineLevel="0" collapsed="false">
      <c r="A22" s="1" t="s">
        <v>611</v>
      </c>
      <c r="B22" s="1" t="n">
        <v>0</v>
      </c>
      <c r="C22" s="1" t="n">
        <f aca="false">C21*DTC_PRICE</f>
        <v>0</v>
      </c>
      <c r="D22" s="1" t="n">
        <f aca="false">D21*DTC_PRICE</f>
        <v>0</v>
      </c>
      <c r="E22" s="1" t="n">
        <f aca="false">E21*DTC_PRICE</f>
        <v>0</v>
      </c>
      <c r="F22" s="1" t="n">
        <f aca="false">F21*DTC_PRICE</f>
        <v>0</v>
      </c>
      <c r="G22" s="1" t="n">
        <f aca="false">G21*DTC_PRICE</f>
        <v>0</v>
      </c>
      <c r="H22" s="1" t="n">
        <f aca="false">H21*DTC_PRICE</f>
        <v>0</v>
      </c>
      <c r="I22" s="1" t="n">
        <f aca="false">I21*DTC_PRICE</f>
        <v>0</v>
      </c>
      <c r="J22" s="1" t="n">
        <f aca="false">J21*DTC_PRICE</f>
        <v>0</v>
      </c>
      <c r="K22" s="1" t="n">
        <f aca="false">K21*DTC_PRICE</f>
        <v>0</v>
      </c>
      <c r="L22" s="1" t="n">
        <f aca="false">L21*DTC_PRICE</f>
        <v>0</v>
      </c>
      <c r="M22" s="1" t="n">
        <f aca="false">M21*DTC_PRICE</f>
        <v>0</v>
      </c>
      <c r="N22" s="1" t="n">
        <f aca="false">N21*DTC_PRICE</f>
        <v>0</v>
      </c>
      <c r="O22" s="1" t="n">
        <f aca="false">O21*DTC_PRICE</f>
        <v>0</v>
      </c>
      <c r="P22" s="1" t="n">
        <f aca="false">P21*DTC_PRICE</f>
        <v>0</v>
      </c>
      <c r="Q22" s="1" t="n">
        <f aca="false">Q21*DTC_PRICE</f>
        <v>0</v>
      </c>
      <c r="R22" s="1" t="n">
        <f aca="false">R21*DTC_PRICE</f>
        <v>0</v>
      </c>
      <c r="S22" s="1" t="n">
        <f aca="false">S21*DTC_PRICE</f>
        <v>0</v>
      </c>
    </row>
    <row r="23" customFormat="false" ht="15" hidden="false" customHeight="true" outlineLevel="0" collapsed="false">
      <c r="A23" s="1" t="s">
        <v>612</v>
      </c>
      <c r="B23" s="1" t="n">
        <v>0</v>
      </c>
      <c r="C23" s="1" t="n">
        <f aca="false">C21*(COST_COGS+DTC_COGS_ADDER)</f>
        <v>0</v>
      </c>
      <c r="D23" s="1" t="n">
        <f aca="false">D21*(COST_COGS+DTC_COGS_ADDER)</f>
        <v>0</v>
      </c>
      <c r="E23" s="1" t="n">
        <f aca="false">E21*(COST_COGS+DTC_COGS_ADDER)</f>
        <v>0</v>
      </c>
      <c r="F23" s="1" t="n">
        <f aca="false">F21*(COST_COGS+DTC_COGS_ADDER)</f>
        <v>0</v>
      </c>
      <c r="G23" s="1" t="n">
        <f aca="false">G21*(COST_COGS+DTC_COGS_ADDER)</f>
        <v>0</v>
      </c>
      <c r="H23" s="1" t="n">
        <f aca="false">H21*(COST_COGS+DTC_COGS_ADDER)</f>
        <v>0</v>
      </c>
      <c r="I23" s="1" t="n">
        <f aca="false">I21*(COST_COGS+DTC_COGS_ADDER)</f>
        <v>0</v>
      </c>
      <c r="J23" s="1" t="n">
        <f aca="false">J21*(COST_COGS+DTC_COGS_ADDER)</f>
        <v>0</v>
      </c>
      <c r="K23" s="1" t="n">
        <f aca="false">K21*(COST_COGS+DTC_COGS_ADDER)</f>
        <v>0</v>
      </c>
      <c r="L23" s="1" t="n">
        <f aca="false">L21*(COST_COGS+DTC_COGS_ADDER)</f>
        <v>0</v>
      </c>
      <c r="M23" s="1" t="n">
        <f aca="false">M21*(COST_COGS+DTC_COGS_ADDER)</f>
        <v>0</v>
      </c>
      <c r="N23" s="1" t="n">
        <f aca="false">N21*(COST_COGS+DTC_COGS_ADDER)</f>
        <v>0</v>
      </c>
      <c r="O23" s="1" t="n">
        <f aca="false">O21*(COST_COGS+DTC_COGS_ADDER)</f>
        <v>0</v>
      </c>
      <c r="P23" s="1" t="n">
        <f aca="false">P21*(COST_COGS+DTC_COGS_ADDER)</f>
        <v>0</v>
      </c>
      <c r="Q23" s="1" t="n">
        <f aca="false">Q21*(COST_COGS+DTC_COGS_ADDER)</f>
        <v>0</v>
      </c>
      <c r="R23" s="1" t="n">
        <f aca="false">R21*(COST_COGS+DTC_COGS_ADDER)</f>
        <v>0</v>
      </c>
      <c r="S23" s="1" t="n">
        <f aca="false">S21*(COST_COGS+DTC_COGS_ADDER)</f>
        <v>0</v>
      </c>
    </row>
    <row r="24" customFormat="false" ht="15" hidden="false" customHeight="true" outlineLevel="0" collapsed="false">
      <c r="A24" s="1" t="s">
        <v>613</v>
      </c>
      <c r="B24" s="1" t="n">
        <v>0</v>
      </c>
      <c r="C24" s="1" t="n">
        <f aca="false">C22-C23</f>
        <v>0</v>
      </c>
      <c r="D24" s="1" t="n">
        <f aca="false">D22-D23</f>
        <v>0</v>
      </c>
      <c r="E24" s="1" t="n">
        <f aca="false">E22-E23</f>
        <v>0</v>
      </c>
      <c r="F24" s="1" t="n">
        <f aca="false">F22-F23</f>
        <v>0</v>
      </c>
      <c r="G24" s="1" t="n">
        <f aca="false">G22-G23</f>
        <v>0</v>
      </c>
      <c r="H24" s="1" t="n">
        <f aca="false">H22-H23</f>
        <v>0</v>
      </c>
      <c r="I24" s="1" t="n">
        <f aca="false">I22-I23</f>
        <v>0</v>
      </c>
      <c r="J24" s="1" t="n">
        <f aca="false">J22-J23</f>
        <v>0</v>
      </c>
      <c r="K24" s="1" t="n">
        <f aca="false">K22-K23</f>
        <v>0</v>
      </c>
      <c r="L24" s="1" t="n">
        <f aca="false">L22-L23</f>
        <v>0</v>
      </c>
      <c r="M24" s="1" t="n">
        <f aca="false">M22-M23</f>
        <v>0</v>
      </c>
      <c r="N24" s="1" t="n">
        <f aca="false">N22-N23</f>
        <v>0</v>
      </c>
      <c r="O24" s="1" t="n">
        <f aca="false">O22-O23</f>
        <v>0</v>
      </c>
      <c r="P24" s="1" t="n">
        <f aca="false">P22-P23</f>
        <v>0</v>
      </c>
      <c r="Q24" s="1" t="n">
        <f aca="false">Q22-Q23</f>
        <v>0</v>
      </c>
      <c r="R24" s="1" t="n">
        <f aca="false">R22-R23</f>
        <v>0</v>
      </c>
      <c r="S24" s="1" t="n">
        <f aca="false">S22-S23</f>
        <v>0</v>
      </c>
    </row>
    <row r="25" customFormat="false" ht="15" hidden="false" customHeight="true" outlineLevel="0" collapsed="false">
      <c r="A25" s="1" t="s">
        <v>614</v>
      </c>
    </row>
    <row r="26" customFormat="false" ht="15" hidden="false" customHeight="true" outlineLevel="0" collapsed="false">
      <c r="A26" s="1" t="s">
        <v>615</v>
      </c>
      <c r="B26" s="1" t="n">
        <v>0</v>
      </c>
      <c r="C26" s="1" t="n">
        <f aca="false">IF(SAAS_ENABLED=1,IF(1&gt;=SAAS_LAUNCH,C5*MIN(SAAS_ADOPTION,SAAS_ADOPTION*(1-SAAS_LAUNCH+1)/SAAS_RAMP),0),0)</f>
        <v>0</v>
      </c>
      <c r="D26" s="1" t="n">
        <f aca="false">IF(SAAS_ENABLED=1,IF(2&gt;=SAAS_LAUNCH,D5*MIN(SAAS_ADOPTION,SAAS_ADOPTION*(2-SAAS_LAUNCH+1)/SAAS_RAMP),0),0)</f>
        <v>0</v>
      </c>
      <c r="E26" s="1" t="n">
        <f aca="false">IF(SAAS_ENABLED=1,IF(3&gt;=SAAS_LAUNCH,E5*MIN(SAAS_ADOPTION,SAAS_ADOPTION*(3-SAAS_LAUNCH+1)/SAAS_RAMP),0),0)</f>
        <v>0</v>
      </c>
      <c r="F26" s="1" t="n">
        <f aca="false">IF(SAAS_ENABLED=1,IF(4&gt;=SAAS_LAUNCH,F5*MIN(SAAS_ADOPTION,SAAS_ADOPTION*(4-SAAS_LAUNCH+1)/SAAS_RAMP),0),0)</f>
        <v>0</v>
      </c>
      <c r="G26" s="1" t="n">
        <f aca="false">IF(SAAS_ENABLED=1,IF(5&gt;=SAAS_LAUNCH,G5*MIN(SAAS_ADOPTION,SAAS_ADOPTION*(5-SAAS_LAUNCH+1)/SAAS_RAMP),0),0)</f>
        <v>0</v>
      </c>
      <c r="H26" s="1" t="n">
        <f aca="false">IF(SAAS_ENABLED=1,IF(6&gt;=SAAS_LAUNCH,H5*MIN(SAAS_ADOPTION,SAAS_ADOPTION*(6-SAAS_LAUNCH+1)/SAAS_RAMP),0),0)</f>
        <v>0</v>
      </c>
      <c r="I26" s="1" t="n">
        <f aca="false">IF(SAAS_ENABLED=1,IF(7&gt;=SAAS_LAUNCH,I5*MIN(SAAS_ADOPTION,SAAS_ADOPTION*(7-SAAS_LAUNCH+1)/SAAS_RAMP),0),0)</f>
        <v>0</v>
      </c>
      <c r="J26" s="1" t="n">
        <f aca="false">IF(SAAS_ENABLED=1,IF(8&gt;=SAAS_LAUNCH,J5*MIN(SAAS_ADOPTION,SAAS_ADOPTION*(8-SAAS_LAUNCH+1)/SAAS_RAMP),0),0)</f>
        <v>0</v>
      </c>
      <c r="K26" s="1" t="n">
        <f aca="false">IF(SAAS_ENABLED=1,IF(9&gt;=SAAS_LAUNCH,K5*MIN(SAAS_ADOPTION,SAAS_ADOPTION*(9-SAAS_LAUNCH+1)/SAAS_RAMP),0),0)</f>
        <v>0</v>
      </c>
      <c r="L26" s="1" t="n">
        <f aca="false">IF(SAAS_ENABLED=1,IF(10&gt;=SAAS_LAUNCH,L5*MIN(SAAS_ADOPTION,SAAS_ADOPTION*(10-SAAS_LAUNCH+1)/SAAS_RAMP),0),0)</f>
        <v>0</v>
      </c>
      <c r="M26" s="1" t="n">
        <f aca="false">IF(SAAS_ENABLED=1,IF(11&gt;=SAAS_LAUNCH,M5*MIN(SAAS_ADOPTION,SAAS_ADOPTION*(11-SAAS_LAUNCH+1)/SAAS_RAMP),0),0)</f>
        <v>0</v>
      </c>
      <c r="N26" s="1" t="n">
        <f aca="false">IF(SAAS_ENABLED=1,IF(12&gt;=SAAS_LAUNCH,N5*MIN(SAAS_ADOPTION,SAAS_ADOPTION*(12-SAAS_LAUNCH+1)/SAAS_RAMP),0),0)</f>
        <v>0</v>
      </c>
      <c r="O26" s="1" t="n">
        <f aca="false">IF(SAAS_ENABLED=1,IF(13&gt;=SAAS_LAUNCH,O5*MIN(SAAS_ADOPTION,SAAS_ADOPTION*(13-SAAS_LAUNCH+1)/SAAS_RAMP),0),0)</f>
        <v>0</v>
      </c>
      <c r="P26" s="1" t="n">
        <f aca="false">IF(SAAS_ENABLED=1,IF(14&gt;=SAAS_LAUNCH,P5*MIN(SAAS_ADOPTION,SAAS_ADOPTION*(14-SAAS_LAUNCH+1)/SAAS_RAMP),0),0)</f>
        <v>0</v>
      </c>
      <c r="Q26" s="1" t="n">
        <f aca="false">IF(SAAS_ENABLED=1,IF(15&gt;=SAAS_LAUNCH,Q5*MIN(SAAS_ADOPTION,SAAS_ADOPTION*(15-SAAS_LAUNCH+1)/SAAS_RAMP),0),0)</f>
        <v>0</v>
      </c>
      <c r="R26" s="1" t="n">
        <f aca="false">IF(SAAS_ENABLED=1,IF(16&gt;=SAAS_LAUNCH,R5*MIN(SAAS_ADOPTION,SAAS_ADOPTION*(16-SAAS_LAUNCH+1)/SAAS_RAMP),0),0)</f>
        <v>0</v>
      </c>
      <c r="S26" s="1" t="n">
        <f aca="false">IF(SAAS_ENABLED=1,IF(17&gt;=SAAS_LAUNCH,S5*MIN(SAAS_ADOPTION,SAAS_ADOPTION*(17-SAAS_LAUNCH+1)/SAAS_RAMP),0),0)</f>
        <v>0</v>
      </c>
    </row>
    <row r="27" customFormat="false" ht="15" hidden="false" customHeight="true" outlineLevel="0" collapsed="false">
      <c r="A27" s="1" t="s">
        <v>616</v>
      </c>
      <c r="B27" s="1" t="n">
        <v>0</v>
      </c>
      <c r="C27" s="1" t="n">
        <f aca="false">C26*SAAS_FEE</f>
        <v>0</v>
      </c>
      <c r="D27" s="1" t="n">
        <f aca="false">D26*SAAS_FEE</f>
        <v>0</v>
      </c>
      <c r="E27" s="1" t="n">
        <f aca="false">E26*SAAS_FEE</f>
        <v>0</v>
      </c>
      <c r="F27" s="1" t="n">
        <f aca="false">F26*SAAS_FEE</f>
        <v>0</v>
      </c>
      <c r="G27" s="1" t="n">
        <f aca="false">G26*SAAS_FEE</f>
        <v>0</v>
      </c>
      <c r="H27" s="1" t="n">
        <f aca="false">H26*SAAS_FEE</f>
        <v>0</v>
      </c>
      <c r="I27" s="1" t="n">
        <f aca="false">I26*SAAS_FEE</f>
        <v>0</v>
      </c>
      <c r="J27" s="1" t="n">
        <f aca="false">J26*SAAS_FEE</f>
        <v>0</v>
      </c>
      <c r="K27" s="1" t="n">
        <f aca="false">K26*SAAS_FEE</f>
        <v>0</v>
      </c>
      <c r="L27" s="1" t="n">
        <f aca="false">L26*SAAS_FEE</f>
        <v>0</v>
      </c>
      <c r="M27" s="1" t="n">
        <f aca="false">M26*SAAS_FEE</f>
        <v>0</v>
      </c>
      <c r="N27" s="1" t="n">
        <f aca="false">N26*SAAS_FEE</f>
        <v>0</v>
      </c>
      <c r="O27" s="1" t="n">
        <f aca="false">O26*SAAS_FEE</f>
        <v>0</v>
      </c>
      <c r="P27" s="1" t="n">
        <f aca="false">P26*SAAS_FEE</f>
        <v>0</v>
      </c>
      <c r="Q27" s="1" t="n">
        <f aca="false">Q26*SAAS_FEE</f>
        <v>0</v>
      </c>
      <c r="R27" s="1" t="n">
        <f aca="false">R26*SAAS_FEE</f>
        <v>0</v>
      </c>
      <c r="S27" s="1" t="n">
        <f aca="false">S26*SAAS_FEE</f>
        <v>0</v>
      </c>
    </row>
    <row r="28" customFormat="false" ht="15" hidden="false" customHeight="true" outlineLevel="0" collapsed="false">
      <c r="A28" s="1" t="s">
        <v>617</v>
      </c>
      <c r="B28" s="1" t="n">
        <v>0</v>
      </c>
      <c r="C28" s="1" t="n">
        <f aca="false">C27*(1-SAAS_MARGIN)</f>
        <v>0</v>
      </c>
      <c r="D28" s="1" t="n">
        <f aca="false">D27*(1-SAAS_MARGIN)</f>
        <v>0</v>
      </c>
      <c r="E28" s="1" t="n">
        <f aca="false">E27*(1-SAAS_MARGIN)</f>
        <v>0</v>
      </c>
      <c r="F28" s="1" t="n">
        <f aca="false">F27*(1-SAAS_MARGIN)</f>
        <v>0</v>
      </c>
      <c r="G28" s="1" t="n">
        <f aca="false">G27*(1-SAAS_MARGIN)</f>
        <v>0</v>
      </c>
      <c r="H28" s="1" t="n">
        <f aca="false">H27*(1-SAAS_MARGIN)</f>
        <v>0</v>
      </c>
      <c r="I28" s="1" t="n">
        <f aca="false">I27*(1-SAAS_MARGIN)</f>
        <v>0</v>
      </c>
      <c r="J28" s="1" t="n">
        <f aca="false">J27*(1-SAAS_MARGIN)</f>
        <v>0</v>
      </c>
      <c r="K28" s="1" t="n">
        <f aca="false">K27*(1-SAAS_MARGIN)</f>
        <v>0</v>
      </c>
      <c r="L28" s="1" t="n">
        <f aca="false">L27*(1-SAAS_MARGIN)</f>
        <v>0</v>
      </c>
      <c r="M28" s="1" t="n">
        <f aca="false">M27*(1-SAAS_MARGIN)</f>
        <v>0</v>
      </c>
      <c r="N28" s="1" t="n">
        <f aca="false">N27*(1-SAAS_MARGIN)</f>
        <v>0</v>
      </c>
      <c r="O28" s="1" t="n">
        <f aca="false">O27*(1-SAAS_MARGIN)</f>
        <v>0</v>
      </c>
      <c r="P28" s="1" t="n">
        <f aca="false">P27*(1-SAAS_MARGIN)</f>
        <v>0</v>
      </c>
      <c r="Q28" s="1" t="n">
        <f aca="false">Q27*(1-SAAS_MARGIN)</f>
        <v>0</v>
      </c>
      <c r="R28" s="1" t="n">
        <f aca="false">R27*(1-SAAS_MARGIN)</f>
        <v>0</v>
      </c>
      <c r="S28" s="1" t="n">
        <f aca="false">S27*(1-SAAS_MARGIN)</f>
        <v>0</v>
      </c>
    </row>
    <row r="29" customFormat="false" ht="15" hidden="false" customHeight="true" outlineLevel="0" collapsed="false">
      <c r="A29" s="1" t="s">
        <v>618</v>
      </c>
      <c r="B29" s="1" t="n">
        <v>0</v>
      </c>
      <c r="C29" s="1" t="n">
        <f aca="false">C27-C28</f>
        <v>0</v>
      </c>
      <c r="D29" s="1" t="n">
        <f aca="false">D27-D28</f>
        <v>0</v>
      </c>
      <c r="E29" s="1" t="n">
        <f aca="false">E27-E28</f>
        <v>0</v>
      </c>
      <c r="F29" s="1" t="n">
        <f aca="false">F27-F28</f>
        <v>0</v>
      </c>
      <c r="G29" s="1" t="n">
        <f aca="false">G27-G28</f>
        <v>0</v>
      </c>
      <c r="H29" s="1" t="n">
        <f aca="false">H27-H28</f>
        <v>0</v>
      </c>
      <c r="I29" s="1" t="n">
        <f aca="false">I27-I28</f>
        <v>0</v>
      </c>
      <c r="J29" s="1" t="n">
        <f aca="false">J27-J28</f>
        <v>0</v>
      </c>
      <c r="K29" s="1" t="n">
        <f aca="false">K27-K28</f>
        <v>0</v>
      </c>
      <c r="L29" s="1" t="n">
        <f aca="false">L27-L28</f>
        <v>0</v>
      </c>
      <c r="M29" s="1" t="n">
        <f aca="false">M27-M28</f>
        <v>0</v>
      </c>
      <c r="N29" s="1" t="n">
        <f aca="false">N27-N28</f>
        <v>0</v>
      </c>
      <c r="O29" s="1" t="n">
        <f aca="false">O27-O28</f>
        <v>0</v>
      </c>
      <c r="P29" s="1" t="n">
        <f aca="false">P27-P28</f>
        <v>0</v>
      </c>
      <c r="Q29" s="1" t="n">
        <f aca="false">Q27-Q28</f>
        <v>0</v>
      </c>
      <c r="R29" s="1" t="n">
        <f aca="false">R27-R28</f>
        <v>0</v>
      </c>
      <c r="S29" s="1" t="n">
        <f aca="false">S27-S28</f>
        <v>0</v>
      </c>
    </row>
    <row r="30" customFormat="false" ht="15" hidden="false" customHeight="true" outlineLevel="0" collapsed="false">
      <c r="A30" s="1" t="s">
        <v>619</v>
      </c>
    </row>
    <row r="31" customFormat="false" ht="15" hidden="false" customHeight="true" outlineLevel="0" collapsed="false">
      <c r="A31" s="1" t="s">
        <v>605</v>
      </c>
      <c r="B31" s="1" t="n">
        <v>0</v>
      </c>
      <c r="C31" s="1" t="n">
        <f aca="false">C16+C22+C27</f>
        <v>0</v>
      </c>
      <c r="D31" s="1" t="n">
        <f aca="false">D16+D22+D27</f>
        <v>0</v>
      </c>
      <c r="E31" s="1" t="n">
        <f aca="false">E16+E22+E27</f>
        <v>0</v>
      </c>
      <c r="F31" s="1" t="n">
        <f aca="false">F16+F22+F27</f>
        <v>605682</v>
      </c>
      <c r="G31" s="1" t="n">
        <f aca="false">G16+G22+G27</f>
        <v>0</v>
      </c>
      <c r="H31" s="1" t="n">
        <f aca="false">H16+H22+H27</f>
        <v>0</v>
      </c>
      <c r="I31" s="1" t="n">
        <f aca="false">I16+I22+I27</f>
        <v>0</v>
      </c>
      <c r="J31" s="1" t="n">
        <f aca="false">J16+J22+J27</f>
        <v>0</v>
      </c>
      <c r="K31" s="1" t="n">
        <f aca="false">K16+K22+K27</f>
        <v>402132.15</v>
      </c>
      <c r="L31" s="1" t="n">
        <f aca="false">L16+L22+L27</f>
        <v>462042</v>
      </c>
      <c r="M31" s="1" t="n">
        <f aca="false">M16+M22+M27</f>
        <v>33575.85</v>
      </c>
      <c r="N31" s="1" t="n">
        <f aca="false">N16+N22+N27</f>
        <v>0</v>
      </c>
      <c r="O31" s="1" t="n">
        <f aca="false">O16+O22+O27</f>
        <v>0</v>
      </c>
      <c r="P31" s="1" t="n">
        <f aca="false">P16+P22+P27</f>
        <v>0</v>
      </c>
      <c r="Q31" s="1" t="n">
        <f aca="false">Q16+Q22+Q27</f>
        <v>0</v>
      </c>
      <c r="R31" s="1" t="n">
        <f aca="false">R16+R22+R27</f>
        <v>0</v>
      </c>
      <c r="S31" s="1" t="n">
        <f aca="false">S16+S22+S27</f>
        <v>0</v>
      </c>
    </row>
    <row r="32" customFormat="false" ht="15" hidden="false" customHeight="true" outlineLevel="0" collapsed="false">
      <c r="A32" s="1" t="s">
        <v>620</v>
      </c>
      <c r="B32" s="1" t="n">
        <v>0</v>
      </c>
      <c r="C32" s="1" t="n">
        <f aca="false">C17+C23+C28</f>
        <v>0</v>
      </c>
      <c r="D32" s="1" t="n">
        <f aca="false">D17+D23+D28</f>
        <v>0</v>
      </c>
      <c r="E32" s="1" t="n">
        <f aca="false">E17+E23+E28</f>
        <v>0</v>
      </c>
      <c r="F32" s="1" t="n">
        <f aca="false">F17+F23+F28</f>
        <v>307648</v>
      </c>
      <c r="G32" s="1" t="n">
        <f aca="false">G17+G23+G28</f>
        <v>0</v>
      </c>
      <c r="H32" s="1" t="n">
        <f aca="false">H17+H23+H28</f>
        <v>0</v>
      </c>
      <c r="I32" s="1" t="n">
        <f aca="false">I17+I23+I28</f>
        <v>0</v>
      </c>
      <c r="J32" s="1" t="n">
        <f aca="false">J17+J23+J28</f>
        <v>0</v>
      </c>
      <c r="K32" s="1" t="n">
        <f aca="false">K17+K23+K28</f>
        <v>204257.6</v>
      </c>
      <c r="L32" s="1" t="n">
        <f aca="false">L17+L23+L28</f>
        <v>234688</v>
      </c>
      <c r="M32" s="1" t="n">
        <f aca="false">M17+M23+M28</f>
        <v>17054.4</v>
      </c>
      <c r="N32" s="1" t="n">
        <f aca="false">N17+N23+N28</f>
        <v>0</v>
      </c>
      <c r="O32" s="1" t="n">
        <f aca="false">O17+O23+O28</f>
        <v>0</v>
      </c>
      <c r="P32" s="1" t="n">
        <f aca="false">P17+P23+P28</f>
        <v>0</v>
      </c>
      <c r="Q32" s="1" t="n">
        <f aca="false">Q17+Q23+Q28</f>
        <v>0</v>
      </c>
      <c r="R32" s="1" t="n">
        <f aca="false">R17+R23+R28</f>
        <v>0</v>
      </c>
      <c r="S32" s="1" t="n">
        <f aca="false">S17+S23+S28</f>
        <v>0</v>
      </c>
    </row>
    <row r="33" customFormat="false" ht="15" hidden="false" customHeight="true" outlineLevel="0" collapsed="false">
      <c r="A33" s="1" t="s">
        <v>621</v>
      </c>
      <c r="B33" s="1" t="n">
        <v>0</v>
      </c>
      <c r="C33" s="1" t="n">
        <f aca="false">C31-C32</f>
        <v>0</v>
      </c>
      <c r="D33" s="1" t="n">
        <f aca="false">D31-D32</f>
        <v>0</v>
      </c>
      <c r="E33" s="1" t="n">
        <f aca="false">E31-E32</f>
        <v>0</v>
      </c>
      <c r="F33" s="1" t="n">
        <f aca="false">F31-F32</f>
        <v>298034</v>
      </c>
      <c r="G33" s="1" t="n">
        <f aca="false">G31-G32</f>
        <v>0</v>
      </c>
      <c r="H33" s="1" t="n">
        <f aca="false">H31-H32</f>
        <v>0</v>
      </c>
      <c r="I33" s="1" t="n">
        <f aca="false">I31-I32</f>
        <v>0</v>
      </c>
      <c r="J33" s="1" t="n">
        <f aca="false">J31-J32</f>
        <v>0</v>
      </c>
      <c r="K33" s="1" t="n">
        <f aca="false">K31-K32</f>
        <v>197874.55</v>
      </c>
      <c r="L33" s="1" t="n">
        <f aca="false">L31-L32</f>
        <v>227354</v>
      </c>
      <c r="M33" s="1" t="n">
        <f aca="false">M31-M32</f>
        <v>16521.45</v>
      </c>
      <c r="N33" s="1" t="n">
        <f aca="false">N31-N32</f>
        <v>0</v>
      </c>
      <c r="O33" s="1" t="n">
        <f aca="false">O31-O32</f>
        <v>0</v>
      </c>
      <c r="P33" s="1" t="n">
        <f aca="false">P31-P32</f>
        <v>0</v>
      </c>
      <c r="Q33" s="1" t="n">
        <f aca="false">Q31-Q32</f>
        <v>0</v>
      </c>
      <c r="R33" s="1" t="n">
        <f aca="false">R31-R32</f>
        <v>0</v>
      </c>
      <c r="S33" s="1" t="n">
        <f aca="false">S31-S32</f>
        <v>0</v>
      </c>
    </row>
    <row r="34" customFormat="false" ht="15" hidden="false" customHeight="true" outlineLevel="0" collapsed="false">
      <c r="A34" s="1" t="s">
        <v>622</v>
      </c>
      <c r="B34" s="1" t="n">
        <v>0</v>
      </c>
      <c r="C34" s="1" t="n">
        <f aca="false">IF(C31=0,0,C33/C31)</f>
        <v>0</v>
      </c>
      <c r="D34" s="1" t="n">
        <f aca="false">IF(D31=0,0,D33/D31)</f>
        <v>0</v>
      </c>
      <c r="E34" s="1" t="n">
        <f aca="false">IF(E31=0,0,E33/E31)</f>
        <v>0</v>
      </c>
      <c r="F34" s="1" t="n">
        <f aca="false">IF(F31=0,0,F33/F31)</f>
        <v>0.492063492063492</v>
      </c>
      <c r="G34" s="1" t="n">
        <f aca="false">IF(G31=0,0,G33/G31)</f>
        <v>0</v>
      </c>
      <c r="H34" s="1" t="n">
        <f aca="false">IF(H31=0,0,H33/H31)</f>
        <v>0</v>
      </c>
      <c r="I34" s="1" t="n">
        <f aca="false">IF(I31=0,0,I33/I31)</f>
        <v>0</v>
      </c>
      <c r="J34" s="1" t="n">
        <f aca="false">IF(J31=0,0,J33/J31)</f>
        <v>0</v>
      </c>
      <c r="K34" s="1" t="n">
        <f aca="false">IF(K31=0,0,K33/K31)</f>
        <v>0.492063492063492</v>
      </c>
      <c r="L34" s="1" t="n">
        <f aca="false">IF(L31=0,0,L33/L31)</f>
        <v>0.492063492063492</v>
      </c>
      <c r="M34" s="1" t="n">
        <f aca="false">IF(M31=0,0,M33/M31)</f>
        <v>0.492063492063492</v>
      </c>
      <c r="N34" s="1" t="n">
        <f aca="false">IF(N31=0,0,N33/N31)</f>
        <v>0</v>
      </c>
      <c r="O34" s="1" t="n">
        <f aca="false">IF(O31=0,0,O33/O31)</f>
        <v>0</v>
      </c>
      <c r="P34" s="1" t="n">
        <f aca="false">IF(P31=0,0,P33/P31)</f>
        <v>0</v>
      </c>
      <c r="Q34" s="1" t="n">
        <f aca="false">IF(Q31=0,0,Q33/Q31)</f>
        <v>0</v>
      </c>
      <c r="R34" s="1" t="n">
        <f aca="false">IF(R31=0,0,R33/R31)</f>
        <v>0</v>
      </c>
      <c r="S34" s="1" t="n">
        <f aca="false">IF(S31=0,0,S33/S31)</f>
        <v>0</v>
      </c>
    </row>
    <row r="36" customFormat="false" ht="15" hidden="false" customHeight="true" outlineLevel="0" collapsed="false">
      <c r="A36" s="85" t="s">
        <v>623</v>
      </c>
    </row>
    <row r="37" customFormat="false" ht="15" hidden="false" customHeight="true" outlineLevel="0" collapsed="false">
      <c r="A37" s="86" t="s">
        <v>624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</row>
    <row r="38" customFormat="false" ht="15" hidden="false" customHeight="true" outlineLevel="0" collapsed="false">
      <c r="A38" s="86" t="s">
        <v>625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</row>
    <row r="39" customFormat="false" ht="15" hidden="false" customHeight="true" outlineLevel="0" collapsed="false">
      <c r="A39" s="88" t="s">
        <v>626</v>
      </c>
      <c r="B39" s="89" t="str">
        <f aca="false">IF(B38="","",B38-B31)</f>
        <v/>
      </c>
      <c r="C39" s="89" t="str">
        <f aca="false">IF(C38="","",C38-C31)</f>
        <v/>
      </c>
      <c r="D39" s="89" t="str">
        <f aca="false">IF(D38="","",D38-D31)</f>
        <v/>
      </c>
      <c r="E39" s="89" t="str">
        <f aca="false">IF(E38="","",E38-E31)</f>
        <v/>
      </c>
      <c r="F39" s="89" t="str">
        <f aca="false">IF(F38="","",F38-F31)</f>
        <v/>
      </c>
      <c r="G39" s="89" t="str">
        <f aca="false">IF(G38="","",G38-G31)</f>
        <v/>
      </c>
      <c r="H39" s="89" t="str">
        <f aca="false">IF(H38="","",H38-H31)</f>
        <v/>
      </c>
      <c r="I39" s="89" t="str">
        <f aca="false">IF(I38="","",I38-I31)</f>
        <v/>
      </c>
      <c r="J39" s="89" t="str">
        <f aca="false">IF(J38="","",J38-J31)</f>
        <v/>
      </c>
      <c r="K39" s="89" t="str">
        <f aca="false">IF(K38="","",K38-K31)</f>
        <v/>
      </c>
      <c r="L39" s="89" t="str">
        <f aca="false">IF(L38="","",L38-L31)</f>
        <v/>
      </c>
      <c r="M39" s="89" t="str">
        <f aca="false">IF(M38="","",M38-M31)</f>
        <v/>
      </c>
      <c r="N39" s="89" t="str">
        <f aca="false">IF(N38="","",N38-N31)</f>
        <v/>
      </c>
      <c r="O39" s="89" t="str">
        <f aca="false">IF(O38="","",O38-O31)</f>
        <v/>
      </c>
      <c r="P39" s="89" t="str">
        <f aca="false">IF(P38="","",P38-P31)</f>
        <v/>
      </c>
      <c r="Q39" s="89" t="str">
        <f aca="false">IF(Q38="","",Q38-Q31)</f>
        <v/>
      </c>
      <c r="R39" s="89" t="str">
        <f aca="false">IF(R38="","",R38-R31)</f>
        <v/>
      </c>
      <c r="S39" s="89" t="str">
        <f aca="false">IF(S38="","",S38-S31)</f>
        <v/>
      </c>
    </row>
    <row r="40" customFormat="false" ht="15" hidden="false" customHeight="true" outlineLevel="0" collapsed="false">
      <c r="A40" s="86" t="s">
        <v>627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</row>
    <row r="41" customFormat="false" ht="15" hidden="false" customHeight="true" outlineLevel="0" collapsed="false">
      <c r="A41" s="88" t="s">
        <v>628</v>
      </c>
      <c r="B41" s="89" t="str">
        <f aca="false">IF(B40="","",B40-B32)</f>
        <v/>
      </c>
      <c r="C41" s="89" t="str">
        <f aca="false">IF(C40="","",C40-C32)</f>
        <v/>
      </c>
      <c r="D41" s="89" t="str">
        <f aca="false">IF(D40="","",D40-D32)</f>
        <v/>
      </c>
      <c r="E41" s="89" t="str">
        <f aca="false">IF(E40="","",E40-E32)</f>
        <v/>
      </c>
      <c r="F41" s="89" t="str">
        <f aca="false">IF(F40="","",F40-F32)</f>
        <v/>
      </c>
      <c r="G41" s="89" t="str">
        <f aca="false">IF(G40="","",G40-G32)</f>
        <v/>
      </c>
      <c r="H41" s="89" t="str">
        <f aca="false">IF(H40="","",H40-H32)</f>
        <v/>
      </c>
      <c r="I41" s="89" t="str">
        <f aca="false">IF(I40="","",I40-I32)</f>
        <v/>
      </c>
      <c r="J41" s="89" t="str">
        <f aca="false">IF(J40="","",J40-J32)</f>
        <v/>
      </c>
      <c r="K41" s="89" t="str">
        <f aca="false">IF(K40="","",K40-K32)</f>
        <v/>
      </c>
      <c r="L41" s="89" t="str">
        <f aca="false">IF(L40="","",L40-L32)</f>
        <v/>
      </c>
      <c r="M41" s="89" t="str">
        <f aca="false">IF(M40="","",M40-M32)</f>
        <v/>
      </c>
      <c r="N41" s="89" t="str">
        <f aca="false">IF(N40="","",N40-N32)</f>
        <v/>
      </c>
      <c r="O41" s="89" t="str">
        <f aca="false">IF(O40="","",O40-O32)</f>
        <v/>
      </c>
      <c r="P41" s="89" t="str">
        <f aca="false">IF(P40="","",P40-P32)</f>
        <v/>
      </c>
      <c r="Q41" s="89" t="str">
        <f aca="false">IF(Q40="","",Q40-Q32)</f>
        <v/>
      </c>
      <c r="R41" s="89" t="str">
        <f aca="false">IF(R40="","",R40-R32)</f>
        <v/>
      </c>
      <c r="S41" s="89" t="str">
        <f aca="false">IF(S40="","",S40-S32)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9" min="2" style="1" width="14"/>
  </cols>
  <sheetData>
    <row r="1" customFormat="false" ht="15" hidden="false" customHeight="true" outlineLevel="0" collapsed="false">
      <c r="A1" s="75" t="s">
        <v>629</v>
      </c>
    </row>
    <row r="2" customFormat="false" ht="15" hidden="false" customHeight="true" outlineLevel="0" collapsed="false">
      <c r="A2" s="76" t="s">
        <v>592</v>
      </c>
      <c r="B2" s="77" t="s">
        <v>328</v>
      </c>
      <c r="C2" s="77" t="s">
        <v>329</v>
      </c>
      <c r="D2" s="77" t="s">
        <v>330</v>
      </c>
      <c r="E2" s="77" t="s">
        <v>331</v>
      </c>
      <c r="F2" s="77" t="s">
        <v>332</v>
      </c>
      <c r="G2" s="77" t="s">
        <v>333</v>
      </c>
      <c r="H2" s="77" t="s">
        <v>334</v>
      </c>
      <c r="I2" s="77" t="s">
        <v>335</v>
      </c>
      <c r="J2" s="77" t="s">
        <v>336</v>
      </c>
      <c r="K2" s="77" t="s">
        <v>337</v>
      </c>
      <c r="L2" s="77" t="s">
        <v>338</v>
      </c>
      <c r="M2" s="77" t="s">
        <v>339</v>
      </c>
      <c r="N2" s="77" t="s">
        <v>340</v>
      </c>
      <c r="O2" s="77" t="s">
        <v>341</v>
      </c>
      <c r="P2" s="77" t="s">
        <v>342</v>
      </c>
      <c r="Q2" s="77" t="s">
        <v>343</v>
      </c>
      <c r="R2" s="77" t="s">
        <v>344</v>
      </c>
      <c r="S2" s="77" t="s">
        <v>345</v>
      </c>
    </row>
    <row r="4" customFormat="false" ht="15" hidden="false" customHeight="true" outlineLevel="0" collapsed="false">
      <c r="A4" s="1" t="s">
        <v>630</v>
      </c>
      <c r="B4" s="81" t="n">
        <v>0</v>
      </c>
      <c r="C4" s="90" t="n">
        <f aca="false">2_Revenue!C31</f>
        <v>0</v>
      </c>
      <c r="D4" s="90" t="n">
        <f aca="false">2_Revenue!D31</f>
        <v>0</v>
      </c>
      <c r="E4" s="90" t="n">
        <f aca="false">2_Revenue!E31</f>
        <v>0</v>
      </c>
      <c r="F4" s="90" t="n">
        <f aca="false">2_Revenue!F31</f>
        <v>605682</v>
      </c>
      <c r="G4" s="90" t="n">
        <f aca="false">2_Revenue!G31</f>
        <v>0</v>
      </c>
      <c r="H4" s="90" t="n">
        <f aca="false">2_Revenue!H31</f>
        <v>0</v>
      </c>
      <c r="I4" s="90" t="n">
        <f aca="false">2_Revenue!I31</f>
        <v>0</v>
      </c>
      <c r="J4" s="90" t="n">
        <f aca="false">2_Revenue!J31</f>
        <v>0</v>
      </c>
      <c r="K4" s="90" t="n">
        <f aca="false">2_Revenue!K31</f>
        <v>402132.15</v>
      </c>
      <c r="L4" s="90" t="n">
        <f aca="false">2_Revenue!L31</f>
        <v>462042</v>
      </c>
      <c r="M4" s="90" t="n">
        <f aca="false">2_Revenue!M31</f>
        <v>33575.85</v>
      </c>
      <c r="N4" s="90" t="n">
        <f aca="false">2_Revenue!N31</f>
        <v>0</v>
      </c>
      <c r="O4" s="90" t="n">
        <f aca="false">2_Revenue!O31</f>
        <v>0</v>
      </c>
      <c r="P4" s="90" t="n">
        <f aca="false">2_Revenue!P31</f>
        <v>0</v>
      </c>
      <c r="Q4" s="90" t="n">
        <f aca="false">2_Revenue!Q31</f>
        <v>0</v>
      </c>
      <c r="R4" s="90" t="n">
        <f aca="false">2_Revenue!R31</f>
        <v>0</v>
      </c>
      <c r="S4" s="90" t="n">
        <f aca="false">2_Revenue!S31</f>
        <v>0</v>
      </c>
    </row>
    <row r="5" customFormat="false" ht="15" hidden="false" customHeight="true" outlineLevel="0" collapsed="false">
      <c r="A5" s="1" t="s">
        <v>631</v>
      </c>
      <c r="B5" s="81" t="n">
        <v>0</v>
      </c>
      <c r="C5" s="90" t="n">
        <f aca="false">2_Revenue!C32</f>
        <v>0</v>
      </c>
      <c r="D5" s="90" t="n">
        <f aca="false">2_Revenue!D32</f>
        <v>0</v>
      </c>
      <c r="E5" s="90" t="n">
        <f aca="false">2_Revenue!E32</f>
        <v>0</v>
      </c>
      <c r="F5" s="90" t="n">
        <f aca="false">2_Revenue!F32</f>
        <v>307648</v>
      </c>
      <c r="G5" s="90" t="n">
        <f aca="false">2_Revenue!G32</f>
        <v>0</v>
      </c>
      <c r="H5" s="90" t="n">
        <f aca="false">2_Revenue!H32</f>
        <v>0</v>
      </c>
      <c r="I5" s="90" t="n">
        <f aca="false">2_Revenue!I32</f>
        <v>0</v>
      </c>
      <c r="J5" s="90" t="n">
        <f aca="false">2_Revenue!J32</f>
        <v>0</v>
      </c>
      <c r="K5" s="90" t="n">
        <f aca="false">2_Revenue!K32</f>
        <v>204257.6</v>
      </c>
      <c r="L5" s="90" t="n">
        <f aca="false">2_Revenue!L32</f>
        <v>234688</v>
      </c>
      <c r="M5" s="90" t="n">
        <f aca="false">2_Revenue!M32</f>
        <v>17054.4</v>
      </c>
      <c r="N5" s="90" t="n">
        <f aca="false">2_Revenue!N32</f>
        <v>0</v>
      </c>
      <c r="O5" s="90" t="n">
        <f aca="false">2_Revenue!O32</f>
        <v>0</v>
      </c>
      <c r="P5" s="90" t="n">
        <f aca="false">2_Revenue!P32</f>
        <v>0</v>
      </c>
      <c r="Q5" s="90" t="n">
        <f aca="false">2_Revenue!Q32</f>
        <v>0</v>
      </c>
      <c r="R5" s="90" t="n">
        <f aca="false">2_Revenue!R32</f>
        <v>0</v>
      </c>
      <c r="S5" s="90" t="n">
        <f aca="false">2_Revenue!S32</f>
        <v>0</v>
      </c>
    </row>
    <row r="6" customFormat="false" ht="15" hidden="false" customHeight="true" outlineLevel="0" collapsed="false">
      <c r="A6" s="76" t="s">
        <v>607</v>
      </c>
      <c r="B6" s="81" t="n">
        <v>0</v>
      </c>
      <c r="C6" s="82" t="n">
        <f aca="false">C4-C5</f>
        <v>0</v>
      </c>
      <c r="D6" s="82" t="n">
        <f aca="false">D4-D5</f>
        <v>0</v>
      </c>
      <c r="E6" s="82" t="n">
        <f aca="false">E4-E5</f>
        <v>0</v>
      </c>
      <c r="F6" s="82" t="n">
        <f aca="false">F4-F5</f>
        <v>298034</v>
      </c>
      <c r="G6" s="82" t="n">
        <f aca="false">G4-G5</f>
        <v>0</v>
      </c>
      <c r="H6" s="82" t="n">
        <f aca="false">H4-H5</f>
        <v>0</v>
      </c>
      <c r="I6" s="82" t="n">
        <f aca="false">I4-I5</f>
        <v>0</v>
      </c>
      <c r="J6" s="82" t="n">
        <f aca="false">J4-J5</f>
        <v>0</v>
      </c>
      <c r="K6" s="82" t="n">
        <f aca="false">K4-K5</f>
        <v>197874.55</v>
      </c>
      <c r="L6" s="82" t="n">
        <f aca="false">L4-L5</f>
        <v>227354</v>
      </c>
      <c r="M6" s="82" t="n">
        <f aca="false">M4-M5</f>
        <v>16521.45</v>
      </c>
      <c r="N6" s="82" t="n">
        <f aca="false">N4-N5</f>
        <v>0</v>
      </c>
      <c r="O6" s="82" t="n">
        <f aca="false">O4-O5</f>
        <v>0</v>
      </c>
      <c r="P6" s="82" t="n">
        <f aca="false">P4-P5</f>
        <v>0</v>
      </c>
      <c r="Q6" s="82" t="n">
        <f aca="false">Q4-Q5</f>
        <v>0</v>
      </c>
      <c r="R6" s="82" t="n">
        <f aca="false">R4-R5</f>
        <v>0</v>
      </c>
      <c r="S6" s="82" t="n">
        <f aca="false">S4-S5</f>
        <v>0</v>
      </c>
    </row>
    <row r="7" customFormat="false" ht="15" hidden="false" customHeight="true" outlineLevel="0" collapsed="false">
      <c r="A7" s="1" t="s">
        <v>608</v>
      </c>
      <c r="B7" s="66" t="n">
        <v>0</v>
      </c>
      <c r="C7" s="84" t="n">
        <f aca="false">IF(C4=0,0,C6/C4)</f>
        <v>0</v>
      </c>
      <c r="D7" s="84" t="n">
        <f aca="false">IF(D4=0,0,D6/D4)</f>
        <v>0</v>
      </c>
      <c r="E7" s="84" t="n">
        <f aca="false">IF(E4=0,0,E6/E4)</f>
        <v>0</v>
      </c>
      <c r="F7" s="84" t="n">
        <f aca="false">IF(F4=0,0,F6/F4)</f>
        <v>0.492063492063492</v>
      </c>
      <c r="G7" s="84" t="n">
        <f aca="false">IF(G4=0,0,G6/G4)</f>
        <v>0</v>
      </c>
      <c r="H7" s="84" t="n">
        <f aca="false">IF(H4=0,0,H6/H4)</f>
        <v>0</v>
      </c>
      <c r="I7" s="84" t="n">
        <f aca="false">IF(I4=0,0,I6/I4)</f>
        <v>0</v>
      </c>
      <c r="J7" s="84" t="n">
        <f aca="false">IF(J4=0,0,J6/J4)</f>
        <v>0</v>
      </c>
      <c r="K7" s="84" t="n">
        <f aca="false">IF(K4=0,0,K6/K4)</f>
        <v>0.492063492063492</v>
      </c>
      <c r="L7" s="84" t="n">
        <f aca="false">IF(L4=0,0,L6/L4)</f>
        <v>0.492063492063492</v>
      </c>
      <c r="M7" s="84" t="n">
        <f aca="false">IF(M4=0,0,M6/M4)</f>
        <v>0.492063492063492</v>
      </c>
      <c r="N7" s="84" t="n">
        <f aca="false">IF(N4=0,0,N6/N4)</f>
        <v>0</v>
      </c>
      <c r="O7" s="84" t="n">
        <f aca="false">IF(O4=0,0,O6/O4)</f>
        <v>0</v>
      </c>
      <c r="P7" s="84" t="n">
        <f aca="false">IF(P4=0,0,P6/P4)</f>
        <v>0</v>
      </c>
      <c r="Q7" s="84" t="n">
        <f aca="false">IF(Q4=0,0,Q6/Q4)</f>
        <v>0</v>
      </c>
      <c r="R7" s="84" t="n">
        <f aca="false">IF(R4=0,0,R6/R4)</f>
        <v>0</v>
      </c>
      <c r="S7" s="84" t="n">
        <f aca="false">IF(S4=0,0,S6/S4)</f>
        <v>0</v>
      </c>
    </row>
    <row r="9" customFormat="false" ht="15" hidden="false" customHeight="true" outlineLevel="0" collapsed="false">
      <c r="A9" s="1" t="s">
        <v>632</v>
      </c>
      <c r="B9" s="81" t="n">
        <v>0</v>
      </c>
      <c r="C9" s="82" t="n">
        <f aca="false">COST_OPEX+DTC_ENABLED*DTC_MARKETING</f>
        <v>6500</v>
      </c>
      <c r="D9" s="82" t="n">
        <f aca="false">COST_OPEX+DTC_ENABLED*DTC_MARKETING</f>
        <v>6500</v>
      </c>
      <c r="E9" s="82" t="n">
        <f aca="false">COST_OPEX+DTC_ENABLED*DTC_MARKETING</f>
        <v>6500</v>
      </c>
      <c r="F9" s="82" t="n">
        <f aca="false">COST_OPEX+DTC_ENABLED*DTC_MARKETING</f>
        <v>6500</v>
      </c>
      <c r="G9" s="82" t="n">
        <f aca="false">COST_OPEX+DTC_ENABLED*DTC_MARKETING</f>
        <v>6500</v>
      </c>
      <c r="H9" s="82" t="n">
        <f aca="false">COST_OPEX+DTC_ENABLED*DTC_MARKETING</f>
        <v>6500</v>
      </c>
      <c r="I9" s="82" t="n">
        <f aca="false">COST_OPEX+DTC_ENABLED*DTC_MARKETING</f>
        <v>6500</v>
      </c>
      <c r="J9" s="82" t="n">
        <f aca="false">COST_OPEX+DTC_ENABLED*DTC_MARKETING</f>
        <v>6500</v>
      </c>
      <c r="K9" s="82" t="n">
        <f aca="false">COST_OPEX+DTC_ENABLED*DTC_MARKETING</f>
        <v>6500</v>
      </c>
      <c r="L9" s="82" t="n">
        <f aca="false">COST_OPEX+DTC_ENABLED*DTC_MARKETING</f>
        <v>6500</v>
      </c>
      <c r="M9" s="82" t="n">
        <f aca="false">COST_OPEX+DTC_ENABLED*DTC_MARKETING</f>
        <v>6500</v>
      </c>
      <c r="N9" s="82" t="n">
        <f aca="false">COST_OPEX+DTC_ENABLED*DTC_MARKETING</f>
        <v>6500</v>
      </c>
      <c r="O9" s="82" t="n">
        <f aca="false">COST_OPEX+DTC_ENABLED*DTC_MARKETING</f>
        <v>6500</v>
      </c>
      <c r="P9" s="82" t="n">
        <f aca="false">COST_OPEX+DTC_ENABLED*DTC_MARKETING</f>
        <v>6500</v>
      </c>
      <c r="Q9" s="82" t="n">
        <f aca="false">COST_OPEX+DTC_ENABLED*DTC_MARKETING</f>
        <v>6500</v>
      </c>
      <c r="R9" s="82" t="n">
        <f aca="false">COST_OPEX+DTC_ENABLED*DTC_MARKETING</f>
        <v>6500</v>
      </c>
      <c r="S9" s="82" t="n">
        <f aca="false">COST_OPEX+DTC_ENABLED*DTC_MARKETING</f>
        <v>6500</v>
      </c>
    </row>
    <row r="10" customFormat="false" ht="15" hidden="false" customHeight="true" outlineLevel="0" collapsed="false">
      <c r="A10" s="76" t="s">
        <v>633</v>
      </c>
      <c r="B10" s="81" t="n">
        <v>0</v>
      </c>
      <c r="C10" s="82" t="n">
        <f aca="false">C6-C9</f>
        <v>-6500</v>
      </c>
      <c r="D10" s="82" t="n">
        <f aca="false">D6-D9</f>
        <v>-6500</v>
      </c>
      <c r="E10" s="82" t="n">
        <f aca="false">E6-E9</f>
        <v>-6500</v>
      </c>
      <c r="F10" s="82" t="n">
        <f aca="false">F6-F9</f>
        <v>291534</v>
      </c>
      <c r="G10" s="82" t="n">
        <f aca="false">G6-G9</f>
        <v>-6500</v>
      </c>
      <c r="H10" s="82" t="n">
        <f aca="false">H6-H9</f>
        <v>-6500</v>
      </c>
      <c r="I10" s="82" t="n">
        <f aca="false">I6-I9</f>
        <v>-6500</v>
      </c>
      <c r="J10" s="82" t="n">
        <f aca="false">J6-J9</f>
        <v>-6500</v>
      </c>
      <c r="K10" s="82" t="n">
        <f aca="false">K6-K9</f>
        <v>191374.55</v>
      </c>
      <c r="L10" s="82" t="n">
        <f aca="false">L6-L9</f>
        <v>220854</v>
      </c>
      <c r="M10" s="82" t="n">
        <f aca="false">M6-M9</f>
        <v>10021.45</v>
      </c>
      <c r="N10" s="82" t="n">
        <f aca="false">N6-N9</f>
        <v>-6500</v>
      </c>
      <c r="O10" s="82" t="n">
        <f aca="false">O6-O9</f>
        <v>-6500</v>
      </c>
      <c r="P10" s="82" t="n">
        <f aca="false">P6-P9</f>
        <v>-6500</v>
      </c>
      <c r="Q10" s="82" t="n">
        <f aca="false">Q6-Q9</f>
        <v>-6500</v>
      </c>
      <c r="R10" s="82" t="n">
        <f aca="false">R6-R9</f>
        <v>-6500</v>
      </c>
      <c r="S10" s="82" t="n">
        <f aca="false">S6-S9</f>
        <v>-6500</v>
      </c>
    </row>
    <row r="11" customFormat="false" ht="15" hidden="false" customHeight="true" outlineLevel="0" collapsed="false">
      <c r="A11" s="1" t="s">
        <v>634</v>
      </c>
      <c r="B11" s="66" t="n">
        <v>0</v>
      </c>
      <c r="C11" s="84" t="n">
        <f aca="false">IF(C4=0,0,C10/C4)</f>
        <v>0</v>
      </c>
      <c r="D11" s="84" t="n">
        <f aca="false">IF(D4=0,0,D10/D4)</f>
        <v>0</v>
      </c>
      <c r="E11" s="84" t="n">
        <f aca="false">IF(E4=0,0,E10/E4)</f>
        <v>0</v>
      </c>
      <c r="F11" s="84" t="n">
        <f aca="false">IF(F4=0,0,F10/F4)</f>
        <v>0.481331787967944</v>
      </c>
      <c r="G11" s="84" t="n">
        <f aca="false">IF(G4=0,0,G10/G4)</f>
        <v>0</v>
      </c>
      <c r="H11" s="84" t="n">
        <f aca="false">IF(H4=0,0,H10/H4)</f>
        <v>0</v>
      </c>
      <c r="I11" s="84" t="n">
        <f aca="false">IF(I4=0,0,I10/I4)</f>
        <v>0</v>
      </c>
      <c r="J11" s="84" t="n">
        <f aca="false">IF(J4=0,0,J10/J4)</f>
        <v>0</v>
      </c>
      <c r="K11" s="84" t="n">
        <f aca="false">IF(K4=0,0,K10/K4)</f>
        <v>0.475899651395692</v>
      </c>
      <c r="L11" s="84" t="n">
        <f aca="false">IF(L4=0,0,L10/L4)</f>
        <v>0.47799550690197</v>
      </c>
      <c r="M11" s="84" t="n">
        <f aca="false">IF(M4=0,0,M10/M4)</f>
        <v>0.298471967202617</v>
      </c>
      <c r="N11" s="84" t="n">
        <f aca="false">IF(N4=0,0,N10/N4)</f>
        <v>0</v>
      </c>
      <c r="O11" s="84" t="n">
        <f aca="false">IF(O4=0,0,O10/O4)</f>
        <v>0</v>
      </c>
      <c r="P11" s="84" t="n">
        <f aca="false">IF(P4=0,0,P10/P4)</f>
        <v>0</v>
      </c>
      <c r="Q11" s="84" t="n">
        <f aca="false">IF(Q4=0,0,Q10/Q4)</f>
        <v>0</v>
      </c>
      <c r="R11" s="84" t="n">
        <f aca="false">IF(R4=0,0,R10/R4)</f>
        <v>0</v>
      </c>
      <c r="S11" s="84" t="n">
        <f aca="false">IF(S4=0,0,S10/S4)</f>
        <v>0</v>
      </c>
    </row>
    <row r="13" customFormat="false" ht="15" hidden="false" customHeight="true" outlineLevel="0" collapsed="false">
      <c r="A13" s="1" t="s">
        <v>635</v>
      </c>
      <c r="B13" s="81" t="n">
        <v>0</v>
      </c>
      <c r="C13" s="91" t="n">
        <f aca="false">7_Debt!C5</f>
        <v>1852.28108333333</v>
      </c>
      <c r="D13" s="91" t="n">
        <f aca="false">7_Debt!D5</f>
        <v>1808.78238785764</v>
      </c>
      <c r="E13" s="91" t="n">
        <f aca="false">7_Debt!E5</f>
        <v>1764.90126635089</v>
      </c>
      <c r="F13" s="91" t="n">
        <f aca="false">7_Debt!F5</f>
        <v>1720.63435665089</v>
      </c>
      <c r="G13" s="91" t="n">
        <f aca="false">7_Debt!G5</f>
        <v>1675.97826703644</v>
      </c>
      <c r="H13" s="91" t="n">
        <f aca="false">7_Debt!H5</f>
        <v>1630.92957596747</v>
      </c>
      <c r="I13" s="91" t="n">
        <f aca="false">7_Debt!I5</f>
        <v>1585.48483182285</v>
      </c>
      <c r="J13" s="91" t="n">
        <f aca="false">7_Debt!J5</f>
        <v>1539.64055263596</v>
      </c>
      <c r="K13" s="91" t="n">
        <f aca="false">7_Debt!K5</f>
        <v>1493.39322582789</v>
      </c>
      <c r="L13" s="91" t="n">
        <f aca="false">7_Debt!L5</f>
        <v>1446.73930793829</v>
      </c>
      <c r="M13" s="91" t="n">
        <f aca="false">7_Debt!M5</f>
        <v>1399.67522435392</v>
      </c>
      <c r="N13" s="91" t="n">
        <f aca="false">7_Debt!N5</f>
        <v>1352.19736903469</v>
      </c>
      <c r="O13" s="91" t="n">
        <f aca="false">7_Debt!O5</f>
        <v>1304.30210423746</v>
      </c>
      <c r="P13" s="91" t="n">
        <f aca="false">7_Debt!P5</f>
        <v>1255.98576023721</v>
      </c>
      <c r="Q13" s="91" t="n">
        <f aca="false">7_Debt!Q5</f>
        <v>1207.24463504596</v>
      </c>
      <c r="R13" s="91" t="n">
        <f aca="false">7_Debt!R5</f>
        <v>1158.07499412908</v>
      </c>
      <c r="S13" s="91" t="n">
        <f aca="false">7_Debt!S5</f>
        <v>1108.47307011913</v>
      </c>
    </row>
    <row r="14" customFormat="false" ht="15" hidden="false" customHeight="true" outlineLevel="0" collapsed="false">
      <c r="A14" s="1" t="s">
        <v>636</v>
      </c>
      <c r="B14" s="81" t="n">
        <v>0</v>
      </c>
      <c r="C14" s="82" t="n">
        <f aca="false">IF(PRAIRIES_TREATMENT="AMORTIZE",IF(1&gt;=PRAIRIES_START_MONTH,7_Debt!C11,COST_WED),IF(PRAIRIES_TREATMENT="FORGIVE",IF(1&gt;=PRAIRIES_START_MONTH,0,COST_WED),COST_WED))</f>
        <v>4669</v>
      </c>
      <c r="D14" s="82" t="n">
        <f aca="false">IF(PRAIRIES_TREATMENT="AMORTIZE",IF(2&gt;=PRAIRIES_START_MONTH,7_Debt!D11,COST_WED),IF(PRAIRIES_TREATMENT="FORGIVE",IF(2&gt;=PRAIRIES_START_MONTH,0,COST_WED),COST_WED))</f>
        <v>4669</v>
      </c>
      <c r="E14" s="82" t="n">
        <f aca="false">IF(PRAIRIES_TREATMENT="AMORTIZE",IF(3&gt;=PRAIRIES_START_MONTH,7_Debt!E11,COST_WED),IF(PRAIRIES_TREATMENT="FORGIVE",IF(3&gt;=PRAIRIES_START_MONTH,0,COST_WED),COST_WED))</f>
        <v>4669</v>
      </c>
      <c r="F14" s="82" t="n">
        <f aca="false">IF(PRAIRIES_TREATMENT="AMORTIZE",IF(4&gt;=PRAIRIES_START_MONTH,7_Debt!F11,COST_WED),IF(PRAIRIES_TREATMENT="FORGIVE",IF(4&gt;=PRAIRIES_START_MONTH,0,COST_WED),COST_WED))</f>
        <v>4669</v>
      </c>
      <c r="G14" s="82" t="n">
        <f aca="false">IF(PRAIRIES_TREATMENT="AMORTIZE",IF(5&gt;=PRAIRIES_START_MONTH,7_Debt!G11,COST_WED),IF(PRAIRIES_TREATMENT="FORGIVE",IF(5&gt;=PRAIRIES_START_MONTH,0,COST_WED),COST_WED))</f>
        <v>4669</v>
      </c>
      <c r="H14" s="82" t="n">
        <f aca="false">IF(PRAIRIES_TREATMENT="AMORTIZE",IF(6&gt;=PRAIRIES_START_MONTH,7_Debt!H11,COST_WED),IF(PRAIRIES_TREATMENT="FORGIVE",IF(6&gt;=PRAIRIES_START_MONTH,0,COST_WED),COST_WED))</f>
        <v>4669</v>
      </c>
      <c r="I14" s="82" t="n">
        <f aca="false">IF(PRAIRIES_TREATMENT="AMORTIZE",IF(7&gt;=PRAIRIES_START_MONTH,7_Debt!I11,COST_WED),IF(PRAIRIES_TREATMENT="FORGIVE",IF(7&gt;=PRAIRIES_START_MONTH,0,COST_WED),COST_WED))</f>
        <v>4669</v>
      </c>
      <c r="J14" s="82" t="n">
        <f aca="false">IF(PRAIRIES_TREATMENT="AMORTIZE",IF(8&gt;=PRAIRIES_START_MONTH,7_Debt!J11,COST_WED),IF(PRAIRIES_TREATMENT="FORGIVE",IF(8&gt;=PRAIRIES_START_MONTH,0,COST_WED),COST_WED))</f>
        <v>4669</v>
      </c>
      <c r="K14" s="82" t="n">
        <f aca="false">IF(PRAIRIES_TREATMENT="AMORTIZE",IF(9&gt;=PRAIRIES_START_MONTH,7_Debt!K11,COST_WED),IF(PRAIRIES_TREATMENT="FORGIVE",IF(9&gt;=PRAIRIES_START_MONTH,0,COST_WED),COST_WED))</f>
        <v>4669</v>
      </c>
      <c r="L14" s="82" t="n">
        <f aca="false">IF(PRAIRIES_TREATMENT="AMORTIZE",IF(10&gt;=PRAIRIES_START_MONTH,7_Debt!L11,COST_WED),IF(PRAIRIES_TREATMENT="FORGIVE",IF(10&gt;=PRAIRIES_START_MONTH,0,COST_WED),COST_WED))</f>
        <v>4669</v>
      </c>
      <c r="M14" s="82" t="n">
        <f aca="false">IF(PRAIRIES_TREATMENT="AMORTIZE",IF(11&gt;=PRAIRIES_START_MONTH,7_Debt!M11,COST_WED),IF(PRAIRIES_TREATMENT="FORGIVE",IF(11&gt;=PRAIRIES_START_MONTH,0,COST_WED),COST_WED))</f>
        <v>4669</v>
      </c>
      <c r="N14" s="82" t="n">
        <f aca="false">IF(PRAIRIES_TREATMENT="AMORTIZE",IF(12&gt;=PRAIRIES_START_MONTH,7_Debt!N11,COST_WED),IF(PRAIRIES_TREATMENT="FORGIVE",IF(12&gt;=PRAIRIES_START_MONTH,0,COST_WED),COST_WED))</f>
        <v>2295.54</v>
      </c>
      <c r="O14" s="82" t="n">
        <f aca="false">IF(PRAIRIES_TREATMENT="AMORTIZE",IF(13&gt;=PRAIRIES_START_MONTH,7_Debt!O11,COST_WED),IF(PRAIRIES_TREATMENT="FORGIVE",IF(13&gt;=PRAIRIES_START_MONTH,0,COST_WED),COST_WED))</f>
        <v>2264.29693333333</v>
      </c>
      <c r="P14" s="82" t="n">
        <f aca="false">IF(PRAIRIES_TREATMENT="AMORTIZE",IF(14&gt;=PRAIRIES_START_MONTH,7_Debt!P11,COST_WED),IF(PRAIRIES_TREATMENT="FORGIVE",IF(14&gt;=PRAIRIES_START_MONTH,0,COST_WED),COST_WED))</f>
        <v>2232.84557955556</v>
      </c>
      <c r="Q14" s="82" t="n">
        <f aca="false">IF(PRAIRIES_TREATMENT="AMORTIZE",IF(15&gt;=PRAIRIES_START_MONTH,7_Debt!Q11,COST_WED),IF(PRAIRIES_TREATMENT="FORGIVE",IF(15&gt;=PRAIRIES_START_MONTH,0,COST_WED),COST_WED))</f>
        <v>2201.18455008593</v>
      </c>
      <c r="R14" s="82" t="n">
        <f aca="false">IF(PRAIRIES_TREATMENT="AMORTIZE",IF(16&gt;=PRAIRIES_START_MONTH,7_Debt!R11,COST_WED),IF(PRAIRIES_TREATMENT="FORGIVE",IF(16&gt;=PRAIRIES_START_MONTH,0,COST_WED),COST_WED))</f>
        <v>2169.3124470865</v>
      </c>
      <c r="S14" s="82" t="n">
        <f aca="false">IF(PRAIRIES_TREATMENT="AMORTIZE",IF(17&gt;=PRAIRIES_START_MONTH,7_Debt!S11,COST_WED),IF(PRAIRIES_TREATMENT="FORGIVE",IF(17&gt;=PRAIRIES_START_MONTH,0,COST_WED),COST_WED))</f>
        <v>2137.22786340041</v>
      </c>
    </row>
    <row r="15" customFormat="false" ht="15" hidden="false" customHeight="true" outlineLevel="0" collapsed="false">
      <c r="A15" s="1" t="s">
        <v>637</v>
      </c>
      <c r="B15" s="81" t="n">
        <v>0</v>
      </c>
      <c r="C15" s="82" t="n">
        <f aca="false">C13+C14</f>
        <v>6521.28108333333</v>
      </c>
      <c r="D15" s="82" t="n">
        <f aca="false">D13+D14</f>
        <v>6477.78238785764</v>
      </c>
      <c r="E15" s="82" t="n">
        <f aca="false">E13+E14</f>
        <v>6433.90126635089</v>
      </c>
      <c r="F15" s="82" t="n">
        <f aca="false">F13+F14</f>
        <v>6389.63435665089</v>
      </c>
      <c r="G15" s="82" t="n">
        <f aca="false">G13+G14</f>
        <v>6344.97826703645</v>
      </c>
      <c r="H15" s="82" t="n">
        <f aca="false">H13+H14</f>
        <v>6299.92957596747</v>
      </c>
      <c r="I15" s="82" t="n">
        <f aca="false">I13+I14</f>
        <v>6254.48483182285</v>
      </c>
      <c r="J15" s="82" t="n">
        <f aca="false">J13+J14</f>
        <v>6208.64055263596</v>
      </c>
      <c r="K15" s="82" t="n">
        <f aca="false">K13+K14</f>
        <v>6162.39322582789</v>
      </c>
      <c r="L15" s="82" t="n">
        <f aca="false">L13+L14</f>
        <v>6115.73930793829</v>
      </c>
      <c r="M15" s="82" t="n">
        <f aca="false">M13+M14</f>
        <v>6068.67522435392</v>
      </c>
      <c r="N15" s="82" t="n">
        <f aca="false">N13+N14</f>
        <v>3647.73736903469</v>
      </c>
      <c r="O15" s="82" t="n">
        <f aca="false">O13+O14</f>
        <v>3568.59903757079</v>
      </c>
      <c r="P15" s="82" t="n">
        <f aca="false">P13+P14</f>
        <v>3488.83133979277</v>
      </c>
      <c r="Q15" s="82" t="n">
        <f aca="false">Q13+Q14</f>
        <v>3408.42918513189</v>
      </c>
      <c r="R15" s="82" t="n">
        <f aca="false">R13+R14</f>
        <v>3327.38744121557</v>
      </c>
      <c r="S15" s="82" t="n">
        <f aca="false">S13+S14</f>
        <v>3245.70093351954</v>
      </c>
    </row>
    <row r="16" customFormat="false" ht="15" hidden="false" customHeight="true" outlineLevel="0" collapsed="false">
      <c r="A16" s="1" t="s">
        <v>638</v>
      </c>
      <c r="B16" s="1" t="n">
        <v>0</v>
      </c>
      <c r="C16" s="1" t="n">
        <f aca="false">IF(PRAIRIES_TREATMENT="FORGIVE",IF(1=PRAIRIES_START_MONTH,7_Debt!B14,0),0)+IF(1=CEBA_PAY_MONTH,CEBA_FORGIVE_AMT,0)</f>
        <v>0</v>
      </c>
      <c r="D16" s="1" t="n">
        <f aca="false">IF(PRAIRIES_TREATMENT="FORGIVE",IF(2=PRAIRIES_START_MONTH,7_Debt!C14,0),0)+IF(2=CEBA_PAY_MONTH,CEBA_FORGIVE_AMT,0)</f>
        <v>0</v>
      </c>
      <c r="E16" s="1" t="n">
        <f aca="false">IF(PRAIRIES_TREATMENT="FORGIVE",IF(3=PRAIRIES_START_MONTH,7_Debt!D14,0),0)+IF(3=CEBA_PAY_MONTH,CEBA_FORGIVE_AMT,0)</f>
        <v>0</v>
      </c>
      <c r="F16" s="1" t="n">
        <f aca="false">IF(PRAIRIES_TREATMENT="FORGIVE",IF(4=PRAIRIES_START_MONTH,7_Debt!E14,0),0)+IF(4=CEBA_PAY_MONTH,CEBA_FORGIVE_AMT,0)</f>
        <v>0</v>
      </c>
      <c r="G16" s="1" t="n">
        <f aca="false">IF(PRAIRIES_TREATMENT="FORGIVE",IF(5=PRAIRIES_START_MONTH,7_Debt!F14,0),0)+IF(5=CEBA_PAY_MONTH,CEBA_FORGIVE_AMT,0)</f>
        <v>0</v>
      </c>
      <c r="H16" s="1" t="n">
        <f aca="false">IF(PRAIRIES_TREATMENT="FORGIVE",IF(6=PRAIRIES_START_MONTH,7_Debt!G14,0),0)+IF(6=CEBA_PAY_MONTH,CEBA_FORGIVE_AMT,0)</f>
        <v>0</v>
      </c>
      <c r="I16" s="1" t="n">
        <f aca="false">IF(PRAIRIES_TREATMENT="FORGIVE",IF(7=PRAIRIES_START_MONTH,7_Debt!H14,0),0)+IF(7=CEBA_PAY_MONTH,CEBA_FORGIVE_AMT,0)</f>
        <v>0</v>
      </c>
      <c r="J16" s="1" t="n">
        <f aca="false">IF(PRAIRIES_TREATMENT="FORGIVE",IF(8=PRAIRIES_START_MONTH,7_Debt!I14,0),0)+IF(8=CEBA_PAY_MONTH,CEBA_FORGIVE_AMT,0)</f>
        <v>0</v>
      </c>
      <c r="K16" s="1" t="n">
        <f aca="false">IF(PRAIRIES_TREATMENT="FORGIVE",IF(9=PRAIRIES_START_MONTH,7_Debt!J14,0),0)+IF(9=CEBA_PAY_MONTH,CEBA_FORGIVE_AMT,0)</f>
        <v>0</v>
      </c>
      <c r="L16" s="1" t="n">
        <f aca="false">IF(PRAIRIES_TREATMENT="FORGIVE",IF(10=PRAIRIES_START_MONTH,7_Debt!K14,0),0)+IF(10=CEBA_PAY_MONTH,CEBA_FORGIVE_AMT,0)</f>
        <v>0</v>
      </c>
      <c r="M16" s="1" t="n">
        <f aca="false">IF(PRAIRIES_TREATMENT="FORGIVE",IF(11=PRAIRIES_START_MONTH,7_Debt!L14,0),0)+IF(11=CEBA_PAY_MONTH,CEBA_FORGIVE_AMT,0)</f>
        <v>0</v>
      </c>
      <c r="N16" s="1" t="n">
        <f aca="false">IF(PRAIRIES_TREATMENT="FORGIVE",IF(12=PRAIRIES_START_MONTH,7_Debt!M14,0),0)+IF(12=CEBA_PAY_MONTH,CEBA_FORGIVE_AMT,0)</f>
        <v>0</v>
      </c>
      <c r="O16" s="1" t="n">
        <f aca="false">IF(PRAIRIES_TREATMENT="FORGIVE",IF(13=PRAIRIES_START_MONTH,7_Debt!N14,0),0)+IF(13=CEBA_PAY_MONTH,CEBA_FORGIVE_AMT,0)</f>
        <v>0</v>
      </c>
      <c r="P16" s="1" t="n">
        <f aca="false">IF(PRAIRIES_TREATMENT="FORGIVE",IF(14=PRAIRIES_START_MONTH,7_Debt!O14,0),0)+IF(14=CEBA_PAY_MONTH,CEBA_FORGIVE_AMT,0)</f>
        <v>0</v>
      </c>
      <c r="Q16" s="1" t="n">
        <f aca="false">IF(PRAIRIES_TREATMENT="FORGIVE",IF(15=PRAIRIES_START_MONTH,7_Debt!P14,0),0)+IF(15=CEBA_PAY_MONTH,CEBA_FORGIVE_AMT,0)</f>
        <v>0</v>
      </c>
      <c r="R16" s="1" t="n">
        <f aca="false">IF(PRAIRIES_TREATMENT="FORGIVE",IF(16=PRAIRIES_START_MONTH,7_Debt!Q14,0),0)+IF(16=CEBA_PAY_MONTH,CEBA_FORGIVE_AMT,0)</f>
        <v>0</v>
      </c>
      <c r="S16" s="1" t="n">
        <f aca="false">IF(PRAIRIES_TREATMENT="FORGIVE",IF(17=PRAIRIES_START_MONTH,7_Debt!R14,0),0)+IF(17=CEBA_PAY_MONTH,CEBA_FORGIVE_AMT,0)</f>
        <v>0</v>
      </c>
    </row>
    <row r="17" customFormat="false" ht="15" hidden="false" customHeight="true" outlineLevel="0" collapsed="false">
      <c r="A17" s="76" t="s">
        <v>639</v>
      </c>
      <c r="B17" s="81" t="n">
        <f aca="false">B10-B15+B16</f>
        <v>0</v>
      </c>
      <c r="C17" s="83" t="n">
        <f aca="false">C10-C15+C16</f>
        <v>-13021.2810833333</v>
      </c>
      <c r="D17" s="83" t="n">
        <f aca="false">D10-D15+D16</f>
        <v>-12977.7823878576</v>
      </c>
      <c r="E17" s="83" t="n">
        <f aca="false">E10-E15+E16</f>
        <v>-12933.9012663509</v>
      </c>
      <c r="F17" s="83" t="n">
        <f aca="false">F10-F15+F16</f>
        <v>285144.365643349</v>
      </c>
      <c r="G17" s="83" t="n">
        <f aca="false">G10-G15+G16</f>
        <v>-12844.9782670364</v>
      </c>
      <c r="H17" s="83" t="n">
        <f aca="false">H10-H15+H16</f>
        <v>-12799.9295759675</v>
      </c>
      <c r="I17" s="83" t="n">
        <f aca="false">I10-I15+I16</f>
        <v>-12754.4848318229</v>
      </c>
      <c r="J17" s="83" t="n">
        <f aca="false">J10-J15+J16</f>
        <v>-12708.640552636</v>
      </c>
      <c r="K17" s="83" t="n">
        <f aca="false">K10-K15+K16</f>
        <v>185212.156774172</v>
      </c>
      <c r="L17" s="83" t="n">
        <f aca="false">L10-L15+L16</f>
        <v>214738.260692062</v>
      </c>
      <c r="M17" s="83" t="n">
        <f aca="false">M10-M15+M16</f>
        <v>3952.77477564609</v>
      </c>
      <c r="N17" s="83" t="n">
        <f aca="false">N10-N15+N16</f>
        <v>-10147.7373690347</v>
      </c>
      <c r="O17" s="83" t="n">
        <f aca="false">O10-O15+O16</f>
        <v>-10068.5990375708</v>
      </c>
      <c r="P17" s="83" t="n">
        <f aca="false">P10-P15+P16</f>
        <v>-9988.83133979277</v>
      </c>
      <c r="Q17" s="83" t="n">
        <f aca="false">Q10-Q15+Q16</f>
        <v>-9908.42918513189</v>
      </c>
      <c r="R17" s="83" t="n">
        <f aca="false">R10-R15+R16</f>
        <v>-9827.38744121558</v>
      </c>
      <c r="S17" s="83" t="n">
        <f aca="false">S10-S15+S16</f>
        <v>-9745.70093351954</v>
      </c>
    </row>
    <row r="18" customFormat="false" ht="15" hidden="false" customHeight="true" outlineLevel="0" collapsed="false">
      <c r="A18" s="1" t="s">
        <v>640</v>
      </c>
      <c r="B18" s="66" t="n">
        <v>0</v>
      </c>
      <c r="C18" s="84" t="n">
        <f aca="false">IF(C4=0,0,C17/C4)</f>
        <v>0</v>
      </c>
      <c r="D18" s="84" t="n">
        <f aca="false">IF(D4=0,0,D17/D4)</f>
        <v>0</v>
      </c>
      <c r="E18" s="84" t="n">
        <f aca="false">IF(E4=0,0,E17/E4)</f>
        <v>0</v>
      </c>
      <c r="F18" s="84" t="n">
        <f aca="false">IF(F4=0,0,F17/F4)</f>
        <v>0.47078230101497</v>
      </c>
      <c r="G18" s="84" t="n">
        <f aca="false">IF(G4=0,0,G17/G4)</f>
        <v>0</v>
      </c>
      <c r="H18" s="84" t="n">
        <f aca="false">IF(H4=0,0,H17/H4)</f>
        <v>0</v>
      </c>
      <c r="I18" s="84" t="n">
        <f aca="false">IF(I4=0,0,I17/I4)</f>
        <v>0</v>
      </c>
      <c r="J18" s="84" t="n">
        <f aca="false">IF(J4=0,0,J17/J4)</f>
        <v>0</v>
      </c>
      <c r="K18" s="84" t="n">
        <f aca="false">IF(K4=0,0,K17/K4)</f>
        <v>0.460575352590366</v>
      </c>
      <c r="L18" s="84" t="n">
        <f aca="false">IF(L4=0,0,L17/L4)</f>
        <v>0.464759179234922</v>
      </c>
      <c r="M18" s="84" t="n">
        <f aca="false">IF(M4=0,0,M17/M4)</f>
        <v>0.117726722499835</v>
      </c>
      <c r="N18" s="84" t="n">
        <f aca="false">IF(N4=0,0,N17/N4)</f>
        <v>0</v>
      </c>
      <c r="O18" s="84" t="n">
        <f aca="false">IF(O4=0,0,O17/O4)</f>
        <v>0</v>
      </c>
      <c r="P18" s="84" t="n">
        <f aca="false">IF(P4=0,0,P17/P4)</f>
        <v>0</v>
      </c>
      <c r="Q18" s="84" t="n">
        <f aca="false">IF(Q4=0,0,Q17/Q4)</f>
        <v>0</v>
      </c>
      <c r="R18" s="84" t="n">
        <f aca="false">IF(R4=0,0,R17/R4)</f>
        <v>0</v>
      </c>
      <c r="S18" s="84" t="n">
        <f aca="false">IF(S4=0,0,S17/S4)</f>
        <v>0</v>
      </c>
    </row>
    <row r="19" customFormat="false" ht="15" hidden="false" customHeight="true" outlineLevel="0" collapsed="false">
      <c r="A19" s="1" t="s">
        <v>641</v>
      </c>
      <c r="B19" s="81" t="n">
        <v>0</v>
      </c>
      <c r="C19" s="82" t="n">
        <f aca="false">C17</f>
        <v>-13021.2810833333</v>
      </c>
      <c r="D19" s="82" t="n">
        <f aca="false">C19+D17</f>
        <v>-25999.063471191</v>
      </c>
      <c r="E19" s="82" t="n">
        <f aca="false">D19+E17</f>
        <v>-38932.9647375419</v>
      </c>
      <c r="F19" s="82" t="n">
        <f aca="false">E19+F17</f>
        <v>246211.400905807</v>
      </c>
      <c r="G19" s="82" t="n">
        <f aca="false">F19+G17</f>
        <v>233366.422638771</v>
      </c>
      <c r="H19" s="82" t="n">
        <f aca="false">G19+H17</f>
        <v>220566.493062803</v>
      </c>
      <c r="I19" s="82" t="n">
        <f aca="false">H19+I17</f>
        <v>207812.008230981</v>
      </c>
      <c r="J19" s="82" t="n">
        <f aca="false">I19+J17</f>
        <v>195103.367678345</v>
      </c>
      <c r="K19" s="82" t="n">
        <f aca="false">J19+K17</f>
        <v>380315.524452517</v>
      </c>
      <c r="L19" s="82" t="n">
        <f aca="false">K19+L17</f>
        <v>595053.785144578</v>
      </c>
      <c r="M19" s="82" t="n">
        <f aca="false">L19+M17</f>
        <v>599006.559920224</v>
      </c>
      <c r="N19" s="82" t="n">
        <f aca="false">M19+N17</f>
        <v>588858.82255119</v>
      </c>
      <c r="O19" s="82" t="n">
        <f aca="false">N19+O17</f>
        <v>578790.223513619</v>
      </c>
      <c r="P19" s="82" t="n">
        <f aca="false">O19+P17</f>
        <v>568801.392173826</v>
      </c>
      <c r="Q19" s="82" t="n">
        <f aca="false">P19+Q17</f>
        <v>558892.962988694</v>
      </c>
      <c r="R19" s="82" t="n">
        <f aca="false">Q19+R17</f>
        <v>549065.575547479</v>
      </c>
      <c r="S19" s="82" t="n">
        <f aca="false">R19+S17</f>
        <v>539319.874613959</v>
      </c>
    </row>
    <row r="21" customFormat="false" ht="15" hidden="false" customHeight="true" outlineLevel="0" collapsed="false">
      <c r="A21" s="85" t="s">
        <v>623</v>
      </c>
    </row>
    <row r="22" customFormat="false" ht="15" hidden="false" customHeight="true" outlineLevel="0" collapsed="false">
      <c r="A22" s="86" t="s">
        <v>642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</row>
    <row r="23" customFormat="false" ht="15" hidden="false" customHeight="true" outlineLevel="0" collapsed="false">
      <c r="A23" s="92" t="s">
        <v>643</v>
      </c>
      <c r="B23" s="89" t="str">
        <f aca="false">IF(B22="","",B22-B4)</f>
        <v/>
      </c>
      <c r="C23" s="89" t="str">
        <f aca="false">IF(C22="","",C22-C4)</f>
        <v/>
      </c>
      <c r="D23" s="89" t="str">
        <f aca="false">IF(D22="","",D22-D4)</f>
        <v/>
      </c>
      <c r="E23" s="89" t="str">
        <f aca="false">IF(E22="","",E22-E4)</f>
        <v/>
      </c>
      <c r="F23" s="89" t="str">
        <f aca="false">IF(F22="","",F22-F4)</f>
        <v/>
      </c>
      <c r="G23" s="89" t="str">
        <f aca="false">IF(G22="","",G22-G4)</f>
        <v/>
      </c>
      <c r="H23" s="89" t="str">
        <f aca="false">IF(H22="","",H22-H4)</f>
        <v/>
      </c>
      <c r="I23" s="89" t="str">
        <f aca="false">IF(I22="","",I22-I4)</f>
        <v/>
      </c>
      <c r="J23" s="89" t="str">
        <f aca="false">IF(J22="","",J22-J4)</f>
        <v/>
      </c>
      <c r="K23" s="89" t="str">
        <f aca="false">IF(K22="","",K22-K4)</f>
        <v/>
      </c>
      <c r="L23" s="89" t="str">
        <f aca="false">IF(L22="","",L22-L4)</f>
        <v/>
      </c>
      <c r="M23" s="89" t="str">
        <f aca="false">IF(M22="","",M22-M4)</f>
        <v/>
      </c>
      <c r="N23" s="89" t="str">
        <f aca="false">IF(N22="","",N22-N4)</f>
        <v/>
      </c>
      <c r="O23" s="89" t="str">
        <f aca="false">IF(O22="","",O22-O4)</f>
        <v/>
      </c>
      <c r="P23" s="89" t="str">
        <f aca="false">IF(P22="","",P22-P4)</f>
        <v/>
      </c>
      <c r="Q23" s="89" t="str">
        <f aca="false">IF(Q22="","",Q22-Q4)</f>
        <v/>
      </c>
      <c r="R23" s="89" t="str">
        <f aca="false">IF(R22="","",R22-R4)</f>
        <v/>
      </c>
      <c r="S23" s="89" t="str">
        <f aca="false">IF(S22="","",S22-S4)</f>
        <v/>
      </c>
    </row>
    <row r="24" customFormat="false" ht="15" hidden="false" customHeight="true" outlineLevel="0" collapsed="false">
      <c r="A24" s="86" t="s">
        <v>644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</row>
    <row r="25" customFormat="false" ht="15" hidden="false" customHeight="true" outlineLevel="0" collapsed="false">
      <c r="A25" s="92" t="s">
        <v>645</v>
      </c>
      <c r="B25" s="89" t="str">
        <f aca="false">IF(B24="","",B24-B5)</f>
        <v/>
      </c>
      <c r="C25" s="89" t="str">
        <f aca="false">IF(C24="","",C24-C5)</f>
        <v/>
      </c>
      <c r="D25" s="89" t="str">
        <f aca="false">IF(D24="","",D24-D5)</f>
        <v/>
      </c>
      <c r="E25" s="89" t="str">
        <f aca="false">IF(E24="","",E24-E5)</f>
        <v/>
      </c>
      <c r="F25" s="89" t="str">
        <f aca="false">IF(F24="","",F24-F5)</f>
        <v/>
      </c>
      <c r="G25" s="89" t="str">
        <f aca="false">IF(G24="","",G24-G5)</f>
        <v/>
      </c>
      <c r="H25" s="89" t="str">
        <f aca="false">IF(H24="","",H24-H5)</f>
        <v/>
      </c>
      <c r="I25" s="89" t="str">
        <f aca="false">IF(I24="","",I24-I5)</f>
        <v/>
      </c>
      <c r="J25" s="89" t="str">
        <f aca="false">IF(J24="","",J24-J5)</f>
        <v/>
      </c>
      <c r="K25" s="89" t="str">
        <f aca="false">IF(K24="","",K24-K5)</f>
        <v/>
      </c>
      <c r="L25" s="89" t="str">
        <f aca="false">IF(L24="","",L24-L5)</f>
        <v/>
      </c>
      <c r="M25" s="89" t="str">
        <f aca="false">IF(M24="","",M24-M5)</f>
        <v/>
      </c>
      <c r="N25" s="89" t="str">
        <f aca="false">IF(N24="","",N24-N5)</f>
        <v/>
      </c>
      <c r="O25" s="89" t="str">
        <f aca="false">IF(O24="","",O24-O5)</f>
        <v/>
      </c>
      <c r="P25" s="89" t="str">
        <f aca="false">IF(P24="","",P24-P5)</f>
        <v/>
      </c>
      <c r="Q25" s="89" t="str">
        <f aca="false">IF(Q24="","",Q24-Q5)</f>
        <v/>
      </c>
      <c r="R25" s="89" t="str">
        <f aca="false">IF(R24="","",R24-R5)</f>
        <v/>
      </c>
      <c r="S25" s="89" t="str">
        <f aca="false">IF(S24="","",S24-S5)</f>
        <v/>
      </c>
    </row>
    <row r="26" customFormat="false" ht="15" hidden="false" customHeight="true" outlineLevel="0" collapsed="false">
      <c r="A26" s="86" t="s">
        <v>646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</row>
    <row r="27" customFormat="false" ht="15" hidden="false" customHeight="true" outlineLevel="0" collapsed="false">
      <c r="A27" s="92" t="s">
        <v>647</v>
      </c>
      <c r="B27" s="89" t="str">
        <f aca="false">IF(B26="","",B26-B9)</f>
        <v/>
      </c>
      <c r="C27" s="89" t="str">
        <f aca="false">IF(C26="","",C26-C9)</f>
        <v/>
      </c>
      <c r="D27" s="89" t="str">
        <f aca="false">IF(D26="","",D26-D9)</f>
        <v/>
      </c>
      <c r="E27" s="89" t="str">
        <f aca="false">IF(E26="","",E26-E9)</f>
        <v/>
      </c>
      <c r="F27" s="89" t="str">
        <f aca="false">IF(F26="","",F26-F9)</f>
        <v/>
      </c>
      <c r="G27" s="89" t="str">
        <f aca="false">IF(G26="","",G26-G9)</f>
        <v/>
      </c>
      <c r="H27" s="89" t="str">
        <f aca="false">IF(H26="","",H26-H9)</f>
        <v/>
      </c>
      <c r="I27" s="89" t="str">
        <f aca="false">IF(I26="","",I26-I9)</f>
        <v/>
      </c>
      <c r="J27" s="89" t="str">
        <f aca="false">IF(J26="","",J26-J9)</f>
        <v/>
      </c>
      <c r="K27" s="89" t="str">
        <f aca="false">IF(K26="","",K26-K9)</f>
        <v/>
      </c>
      <c r="L27" s="89" t="str">
        <f aca="false">IF(L26="","",L26-L9)</f>
        <v/>
      </c>
      <c r="M27" s="89" t="str">
        <f aca="false">IF(M26="","",M26-M9)</f>
        <v/>
      </c>
      <c r="N27" s="89" t="str">
        <f aca="false">IF(N26="","",N26-N9)</f>
        <v/>
      </c>
      <c r="O27" s="89" t="str">
        <f aca="false">IF(O26="","",O26-O9)</f>
        <v/>
      </c>
      <c r="P27" s="89" t="str">
        <f aca="false">IF(P26="","",P26-P9)</f>
        <v/>
      </c>
      <c r="Q27" s="89" t="str">
        <f aca="false">IF(Q26="","",Q26-Q9)</f>
        <v/>
      </c>
      <c r="R27" s="89" t="str">
        <f aca="false">IF(R26="","",R26-R9)</f>
        <v/>
      </c>
      <c r="S27" s="89" t="str">
        <f aca="false">IF(S26="","",S26-S9)</f>
        <v/>
      </c>
    </row>
    <row r="28" customFormat="false" ht="15" hidden="false" customHeight="true" outlineLevel="0" collapsed="false">
      <c r="A28" s="86" t="s">
        <v>648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</row>
    <row r="29" customFormat="false" ht="15" hidden="false" customHeight="true" outlineLevel="0" collapsed="false">
      <c r="A29" s="92" t="s">
        <v>649</v>
      </c>
      <c r="B29" s="89" t="str">
        <f aca="false">IF(B28="","",B28-B17)</f>
        <v/>
      </c>
      <c r="C29" s="89" t="str">
        <f aca="false">IF(C28="","",C28-C17)</f>
        <v/>
      </c>
      <c r="D29" s="89" t="str">
        <f aca="false">IF(D28="","",D28-D17)</f>
        <v/>
      </c>
      <c r="E29" s="89" t="str">
        <f aca="false">IF(E28="","",E28-E17)</f>
        <v/>
      </c>
      <c r="F29" s="89" t="str">
        <f aca="false">IF(F28="","",F28-F17)</f>
        <v/>
      </c>
      <c r="G29" s="89" t="str">
        <f aca="false">IF(G28="","",G28-G17)</f>
        <v/>
      </c>
      <c r="H29" s="89" t="str">
        <f aca="false">IF(H28="","",H28-H17)</f>
        <v/>
      </c>
      <c r="I29" s="89" t="str">
        <f aca="false">IF(I28="","",I28-I17)</f>
        <v/>
      </c>
      <c r="J29" s="89" t="str">
        <f aca="false">IF(J28="","",J28-J17)</f>
        <v/>
      </c>
      <c r="K29" s="89" t="str">
        <f aca="false">IF(K28="","",K28-K17)</f>
        <v/>
      </c>
      <c r="L29" s="89" t="str">
        <f aca="false">IF(L28="","",L28-L17)</f>
        <v/>
      </c>
      <c r="M29" s="89" t="str">
        <f aca="false">IF(M28="","",M28-M17)</f>
        <v/>
      </c>
      <c r="N29" s="89" t="str">
        <f aca="false">IF(N28="","",N28-N17)</f>
        <v/>
      </c>
      <c r="O29" s="89" t="str">
        <f aca="false">IF(O28="","",O28-O17)</f>
        <v/>
      </c>
      <c r="P29" s="89" t="str">
        <f aca="false">IF(P28="","",P28-P17)</f>
        <v/>
      </c>
      <c r="Q29" s="89" t="str">
        <f aca="false">IF(Q28="","",Q28-Q17)</f>
        <v/>
      </c>
      <c r="R29" s="89" t="str">
        <f aca="false">IF(R28="","",R28-R17)</f>
        <v/>
      </c>
      <c r="S29" s="89" t="str">
        <f aca="false">IF(S28="","",S28-S17)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9" min="2" style="1" width="14"/>
  </cols>
  <sheetData>
    <row r="1" customFormat="false" ht="15" hidden="false" customHeight="true" outlineLevel="0" collapsed="false">
      <c r="A1" s="75" t="s">
        <v>650</v>
      </c>
    </row>
    <row r="2" customFormat="false" ht="15" hidden="false" customHeight="true" outlineLevel="0" collapsed="false">
      <c r="A2" s="76" t="s">
        <v>592</v>
      </c>
      <c r="B2" s="77" t="s">
        <v>328</v>
      </c>
      <c r="C2" s="77" t="s">
        <v>329</v>
      </c>
      <c r="D2" s="77" t="s">
        <v>330</v>
      </c>
      <c r="E2" s="77" t="s">
        <v>331</v>
      </c>
      <c r="F2" s="77" t="s">
        <v>332</v>
      </c>
      <c r="G2" s="77" t="s">
        <v>333</v>
      </c>
      <c r="H2" s="77" t="s">
        <v>334</v>
      </c>
      <c r="I2" s="77" t="s">
        <v>335</v>
      </c>
      <c r="J2" s="77" t="s">
        <v>336</v>
      </c>
      <c r="K2" s="77" t="s">
        <v>337</v>
      </c>
      <c r="L2" s="77" t="s">
        <v>338</v>
      </c>
      <c r="M2" s="77" t="s">
        <v>339</v>
      </c>
      <c r="N2" s="77" t="s">
        <v>340</v>
      </c>
      <c r="O2" s="77" t="s">
        <v>341</v>
      </c>
      <c r="P2" s="77" t="s">
        <v>342</v>
      </c>
      <c r="Q2" s="77" t="s">
        <v>343</v>
      </c>
      <c r="R2" s="77" t="s">
        <v>344</v>
      </c>
      <c r="S2" s="77" t="s">
        <v>345</v>
      </c>
    </row>
    <row r="4" customFormat="false" ht="15" hidden="false" customHeight="true" outlineLevel="0" collapsed="false">
      <c r="A4" s="48" t="s">
        <v>651</v>
      </c>
    </row>
    <row r="5" customFormat="false" ht="15" hidden="false" customHeight="true" outlineLevel="0" collapsed="false">
      <c r="A5" s="1" t="s">
        <v>652</v>
      </c>
      <c r="B5" s="81" t="n">
        <v>0</v>
      </c>
      <c r="C5" s="82" t="n">
        <f aca="false">B8</f>
        <v>369366</v>
      </c>
      <c r="D5" s="82" t="n">
        <f aca="false">C8</f>
        <v>369366</v>
      </c>
      <c r="E5" s="82" t="n">
        <f aca="false">D8</f>
        <v>369366</v>
      </c>
      <c r="F5" s="82" t="n">
        <f aca="false">E8</f>
        <v>369366</v>
      </c>
      <c r="G5" s="82" t="n">
        <f aca="false">F8</f>
        <v>0</v>
      </c>
      <c r="H5" s="82" t="n">
        <f aca="false">G8</f>
        <v>0</v>
      </c>
      <c r="I5" s="82" t="n">
        <f aca="false">H8</f>
        <v>0</v>
      </c>
      <c r="J5" s="82" t="n">
        <f aca="false">I8</f>
        <v>0</v>
      </c>
      <c r="K5" s="82" t="n">
        <f aca="false">J8</f>
        <v>0</v>
      </c>
      <c r="L5" s="82" t="n">
        <f aca="false">K8</f>
        <v>0</v>
      </c>
      <c r="M5" s="82" t="n">
        <f aca="false">L8</f>
        <v>0</v>
      </c>
      <c r="N5" s="82" t="n">
        <f aca="false">M8</f>
        <v>0</v>
      </c>
      <c r="O5" s="82" t="n">
        <f aca="false">N8</f>
        <v>0</v>
      </c>
      <c r="P5" s="82" t="n">
        <f aca="false">O8</f>
        <v>0</v>
      </c>
      <c r="Q5" s="82" t="n">
        <f aca="false">P8</f>
        <v>0</v>
      </c>
      <c r="R5" s="82" t="n">
        <f aca="false">Q8</f>
        <v>0</v>
      </c>
      <c r="S5" s="82" t="n">
        <f aca="false">R8</f>
        <v>0</v>
      </c>
    </row>
    <row r="6" customFormat="false" ht="15" hidden="false" customHeight="true" outlineLevel="0" collapsed="false">
      <c r="A6" s="1" t="s">
        <v>653</v>
      </c>
      <c r="B6" s="81" t="n">
        <v>0</v>
      </c>
      <c r="C6" s="82" t="n">
        <f aca="false">IF(1=CAP_ARRIVAL,CAP_BACKLOG_AR,0)</f>
        <v>0</v>
      </c>
      <c r="D6" s="82" t="n">
        <f aca="false">IF(2=CAP_ARRIVAL,CAP_BACKLOG_AR,0)</f>
        <v>0</v>
      </c>
      <c r="E6" s="82" t="n">
        <f aca="false">IF(3=CAP_ARRIVAL,CAP_BACKLOG_AR,0)</f>
        <v>0</v>
      </c>
      <c r="F6" s="82" t="n">
        <f aca="false">IF(4=CAP_ARRIVAL,CAP_BACKLOG_AR,0)</f>
        <v>235000</v>
      </c>
      <c r="G6" s="82" t="n">
        <f aca="false">IF(5=CAP_ARRIVAL,CAP_BACKLOG_AR,0)</f>
        <v>0</v>
      </c>
      <c r="H6" s="82" t="n">
        <f aca="false">IF(6=CAP_ARRIVAL,CAP_BACKLOG_AR,0)</f>
        <v>0</v>
      </c>
      <c r="I6" s="82" t="n">
        <f aca="false">IF(7=CAP_ARRIVAL,CAP_BACKLOG_AR,0)</f>
        <v>0</v>
      </c>
      <c r="J6" s="82" t="n">
        <f aca="false">IF(8=CAP_ARRIVAL,CAP_BACKLOG_AR,0)</f>
        <v>0</v>
      </c>
      <c r="K6" s="82" t="n">
        <f aca="false">IF(9=CAP_ARRIVAL,CAP_BACKLOG_AR,0)</f>
        <v>0</v>
      </c>
      <c r="L6" s="82" t="n">
        <f aca="false">IF(10=CAP_ARRIVAL,CAP_BACKLOG_AR,0)</f>
        <v>0</v>
      </c>
      <c r="M6" s="82" t="n">
        <f aca="false">IF(11=CAP_ARRIVAL,CAP_BACKLOG_AR,0)</f>
        <v>0</v>
      </c>
      <c r="N6" s="82" t="n">
        <f aca="false">IF(12=CAP_ARRIVAL,CAP_BACKLOG_AR,0)</f>
        <v>0</v>
      </c>
      <c r="O6" s="82" t="n">
        <f aca="false">IF(13=CAP_ARRIVAL,CAP_BACKLOG_AR,0)</f>
        <v>0</v>
      </c>
      <c r="P6" s="82" t="n">
        <f aca="false">IF(14=CAP_ARRIVAL,CAP_BACKLOG_AR,0)</f>
        <v>0</v>
      </c>
      <c r="Q6" s="82" t="n">
        <f aca="false">IF(15=CAP_ARRIVAL,CAP_BACKLOG_AR,0)</f>
        <v>0</v>
      </c>
      <c r="R6" s="82" t="n">
        <f aca="false">IF(16=CAP_ARRIVAL,CAP_BACKLOG_AR,0)</f>
        <v>0</v>
      </c>
      <c r="S6" s="82" t="n">
        <f aca="false">IF(17=CAP_ARRIVAL,CAP_BACKLOG_AR,0)</f>
        <v>0</v>
      </c>
    </row>
    <row r="7" customFormat="false" ht="15" hidden="false" customHeight="true" outlineLevel="0" collapsed="false">
      <c r="A7" s="1" t="s">
        <v>654</v>
      </c>
      <c r="B7" s="81" t="n">
        <v>0</v>
      </c>
      <c r="C7" s="82" t="n">
        <f aca="false">IF(1&gt;=CAP_ARRIVAL,-(C5+C6),0)</f>
        <v>0</v>
      </c>
      <c r="D7" s="82" t="n">
        <f aca="false">IF(2&gt;=CAP_ARRIVAL,-(D5+D6),0)</f>
        <v>0</v>
      </c>
      <c r="E7" s="82" t="n">
        <f aca="false">IF(3&gt;=CAP_ARRIVAL,-(E5+E6),0)</f>
        <v>0</v>
      </c>
      <c r="F7" s="82" t="n">
        <f aca="false">IF(4&gt;=CAP_ARRIVAL,-(F5+F6),0)</f>
        <v>-604366</v>
      </c>
      <c r="G7" s="82" t="n">
        <f aca="false">IF(5&gt;=CAP_ARRIVAL,-(G5+G6),0)</f>
        <v>-0</v>
      </c>
      <c r="H7" s="82" t="n">
        <f aca="false">IF(6&gt;=CAP_ARRIVAL,-(H5+H6),0)</f>
        <v>-0</v>
      </c>
      <c r="I7" s="82" t="n">
        <f aca="false">IF(7&gt;=CAP_ARRIVAL,-(I5+I6),0)</f>
        <v>-0</v>
      </c>
      <c r="J7" s="82" t="n">
        <f aca="false">IF(8&gt;=CAP_ARRIVAL,-(J5+J6),0)</f>
        <v>-0</v>
      </c>
      <c r="K7" s="82" t="n">
        <f aca="false">IF(9&gt;=CAP_ARRIVAL,-(K5+K6),0)</f>
        <v>-0</v>
      </c>
      <c r="L7" s="82" t="n">
        <f aca="false">IF(10&gt;=CAP_ARRIVAL,-(L5+L6),0)</f>
        <v>-0</v>
      </c>
      <c r="M7" s="82" t="n">
        <f aca="false">IF(11&gt;=CAP_ARRIVAL,-(M5+M6),0)</f>
        <v>-0</v>
      </c>
      <c r="N7" s="82" t="n">
        <f aca="false">IF(12&gt;=CAP_ARRIVAL,-(N5+N6),0)</f>
        <v>-0</v>
      </c>
      <c r="O7" s="82" t="n">
        <f aca="false">IF(13&gt;=CAP_ARRIVAL,-(O5+O6),0)</f>
        <v>-0</v>
      </c>
      <c r="P7" s="82" t="n">
        <f aca="false">IF(14&gt;=CAP_ARRIVAL,-(P5+P6),0)</f>
        <v>-0</v>
      </c>
      <c r="Q7" s="82" t="n">
        <f aca="false">IF(15&gt;=CAP_ARRIVAL,-(Q5+Q6),0)</f>
        <v>-0</v>
      </c>
      <c r="R7" s="82" t="n">
        <f aca="false">IF(16&gt;=CAP_ARRIVAL,-(R5+R6),0)</f>
        <v>-0</v>
      </c>
      <c r="S7" s="82" t="n">
        <f aca="false">IF(17&gt;=CAP_ARRIVAL,-(S5+S6),0)</f>
        <v>-0</v>
      </c>
    </row>
    <row r="8" customFormat="false" ht="15" hidden="false" customHeight="true" outlineLevel="0" collapsed="false">
      <c r="A8" s="76" t="s">
        <v>655</v>
      </c>
      <c r="B8" s="81" t="n">
        <f aca="false">OB_AR</f>
        <v>369366</v>
      </c>
      <c r="C8" s="82" t="n">
        <f aca="false">C5+C6+C7</f>
        <v>369366</v>
      </c>
      <c r="D8" s="82" t="n">
        <f aca="false">D5+D6+D7</f>
        <v>369366</v>
      </c>
      <c r="E8" s="82" t="n">
        <f aca="false">E5+E6+E7</f>
        <v>369366</v>
      </c>
      <c r="F8" s="82" t="n">
        <f aca="false">F5+F6+F7</f>
        <v>0</v>
      </c>
      <c r="G8" s="82" t="n">
        <f aca="false">G5+G6+G7</f>
        <v>0</v>
      </c>
      <c r="H8" s="82" t="n">
        <f aca="false">H5+H6+H7</f>
        <v>0</v>
      </c>
      <c r="I8" s="82" t="n">
        <f aca="false">I5+I6+I7</f>
        <v>0</v>
      </c>
      <c r="J8" s="82" t="n">
        <f aca="false">J5+J6+J7</f>
        <v>0</v>
      </c>
      <c r="K8" s="82" t="n">
        <f aca="false">K5+K6+K7</f>
        <v>0</v>
      </c>
      <c r="L8" s="82" t="n">
        <f aca="false">L5+L6+L7</f>
        <v>0</v>
      </c>
      <c r="M8" s="82" t="n">
        <f aca="false">M5+M6+M7</f>
        <v>0</v>
      </c>
      <c r="N8" s="82" t="n">
        <f aca="false">N5+N6+N7</f>
        <v>0</v>
      </c>
      <c r="O8" s="82" t="n">
        <f aca="false">O5+O6+O7</f>
        <v>0</v>
      </c>
      <c r="P8" s="82" t="n">
        <f aca="false">P5+P6+P7</f>
        <v>0</v>
      </c>
      <c r="Q8" s="82" t="n">
        <f aca="false">Q5+Q6+Q7</f>
        <v>0</v>
      </c>
      <c r="R8" s="82" t="n">
        <f aca="false">R5+R6+R7</f>
        <v>0</v>
      </c>
      <c r="S8" s="82" t="n">
        <f aca="false">S5+S6+S7</f>
        <v>0</v>
      </c>
    </row>
    <row r="10" customFormat="false" ht="15" hidden="false" customHeight="true" outlineLevel="0" collapsed="false">
      <c r="A10" s="48" t="s">
        <v>656</v>
      </c>
    </row>
    <row r="11" customFormat="false" ht="15" hidden="false" customHeight="true" outlineLevel="0" collapsed="false">
      <c r="A11" s="1" t="s">
        <v>657</v>
      </c>
      <c r="B11" s="78" t="n">
        <v>0</v>
      </c>
      <c r="C11" s="79" t="n">
        <f aca="false">B14</f>
        <v>24</v>
      </c>
      <c r="D11" s="79" t="n">
        <f aca="false">C14</f>
        <v>24</v>
      </c>
      <c r="E11" s="79" t="n">
        <f aca="false">D14</f>
        <v>24</v>
      </c>
      <c r="F11" s="79" t="n">
        <f aca="false">E14</f>
        <v>24</v>
      </c>
      <c r="G11" s="79" t="n">
        <f aca="false">F14</f>
        <v>0</v>
      </c>
      <c r="H11" s="79" t="n">
        <f aca="false">G14</f>
        <v>0</v>
      </c>
      <c r="I11" s="79" t="n">
        <f aca="false">H14</f>
        <v>0</v>
      </c>
      <c r="J11" s="79" t="n">
        <f aca="false">I14</f>
        <v>0</v>
      </c>
      <c r="K11" s="79" t="n">
        <f aca="false">J14</f>
        <v>0</v>
      </c>
      <c r="L11" s="79" t="n">
        <f aca="false">K14</f>
        <v>1656.2</v>
      </c>
      <c r="M11" s="79" t="n">
        <f aca="false">L14</f>
        <v>112.2</v>
      </c>
      <c r="N11" s="79" t="n">
        <f aca="false">M14</f>
        <v>0</v>
      </c>
      <c r="O11" s="79" t="n">
        <f aca="false">N14</f>
        <v>0</v>
      </c>
      <c r="P11" s="79" t="n">
        <f aca="false">O14</f>
        <v>0</v>
      </c>
      <c r="Q11" s="79" t="n">
        <f aca="false">P14</f>
        <v>0</v>
      </c>
      <c r="R11" s="79" t="n">
        <f aca="false">Q14</f>
        <v>0</v>
      </c>
      <c r="S11" s="79" t="n">
        <f aca="false">R14</f>
        <v>0</v>
      </c>
    </row>
    <row r="12" customFormat="false" ht="15" hidden="false" customHeight="true" outlineLevel="0" collapsed="false">
      <c r="A12" s="1" t="s">
        <v>658</v>
      </c>
      <c r="B12" s="78" t="n">
        <v>0</v>
      </c>
      <c r="C12" s="79" t="n">
        <f aca="false">IF(1=CAP_ARRIVAL,CAP_PO_UNITS,0)+IF(1=CAP_PO2_TRIGGER+CAP_PO2_LEAD,CAP_PO2_UNITS,0)</f>
        <v>0</v>
      </c>
      <c r="D12" s="79" t="n">
        <f aca="false">IF(2=CAP_ARRIVAL,CAP_PO_UNITS,0)+IF(2=CAP_PO2_TRIGGER+CAP_PO2_LEAD,CAP_PO2_UNITS,0)</f>
        <v>0</v>
      </c>
      <c r="E12" s="79" t="n">
        <f aca="false">IF(3=CAP_ARRIVAL,CAP_PO_UNITS,0)+IF(3=CAP_PO2_TRIGGER+CAP_PO2_LEAD,CAP_PO2_UNITS,0)</f>
        <v>0</v>
      </c>
      <c r="F12" s="79" t="n">
        <f aca="false">IF(4=CAP_ARRIVAL,CAP_PO_UNITS,0)+IF(4=CAP_PO2_TRIGGER+CAP_PO2_LEAD,CAP_PO2_UNITS,0)</f>
        <v>2000</v>
      </c>
      <c r="G12" s="79" t="n">
        <f aca="false">IF(5=CAP_ARRIVAL,CAP_PO_UNITS,0)+IF(5=CAP_PO2_TRIGGER+CAP_PO2_LEAD,CAP_PO2_UNITS,0)</f>
        <v>0</v>
      </c>
      <c r="H12" s="79" t="n">
        <f aca="false">IF(6=CAP_ARRIVAL,CAP_PO_UNITS,0)+IF(6=CAP_PO2_TRIGGER+CAP_PO2_LEAD,CAP_PO2_UNITS,0)</f>
        <v>0</v>
      </c>
      <c r="I12" s="79" t="n">
        <f aca="false">IF(7=CAP_ARRIVAL,CAP_PO_UNITS,0)+IF(7=CAP_PO2_TRIGGER+CAP_PO2_LEAD,CAP_PO2_UNITS,0)</f>
        <v>0</v>
      </c>
      <c r="J12" s="79" t="n">
        <f aca="false">IF(8=CAP_ARRIVAL,CAP_PO_UNITS,0)+IF(8=CAP_PO2_TRIGGER+CAP_PO2_LEAD,CAP_PO2_UNITS,0)</f>
        <v>0</v>
      </c>
      <c r="K12" s="79" t="n">
        <f aca="false">IF(9=CAP_ARRIVAL,CAP_PO_UNITS,0)+IF(9=CAP_PO2_TRIGGER+CAP_PO2_LEAD,CAP_PO2_UNITS,0)</f>
        <v>3000</v>
      </c>
      <c r="L12" s="79" t="n">
        <f aca="false">IF(10=CAP_ARRIVAL,CAP_PO_UNITS,0)+IF(10=CAP_PO2_TRIGGER+CAP_PO2_LEAD,CAP_PO2_UNITS,0)</f>
        <v>0</v>
      </c>
      <c r="M12" s="79" t="n">
        <f aca="false">IF(11=CAP_ARRIVAL,CAP_PO_UNITS,0)+IF(11=CAP_PO2_TRIGGER+CAP_PO2_LEAD,CAP_PO2_UNITS,0)</f>
        <v>0</v>
      </c>
      <c r="N12" s="79" t="n">
        <f aca="false">IF(12=CAP_ARRIVAL,CAP_PO_UNITS,0)+IF(12=CAP_PO2_TRIGGER+CAP_PO2_LEAD,CAP_PO2_UNITS,0)</f>
        <v>0</v>
      </c>
      <c r="O12" s="79" t="n">
        <f aca="false">IF(13=CAP_ARRIVAL,CAP_PO_UNITS,0)+IF(13=CAP_PO2_TRIGGER+CAP_PO2_LEAD,CAP_PO2_UNITS,0)</f>
        <v>0</v>
      </c>
      <c r="P12" s="79" t="n">
        <f aca="false">IF(14=CAP_ARRIVAL,CAP_PO_UNITS,0)+IF(14=CAP_PO2_TRIGGER+CAP_PO2_LEAD,CAP_PO2_UNITS,0)</f>
        <v>0</v>
      </c>
      <c r="Q12" s="79" t="n">
        <f aca="false">IF(15=CAP_ARRIVAL,CAP_PO_UNITS,0)+IF(15=CAP_PO2_TRIGGER+CAP_PO2_LEAD,CAP_PO2_UNITS,0)</f>
        <v>0</v>
      </c>
      <c r="R12" s="79" t="n">
        <f aca="false">IF(16=CAP_ARRIVAL,CAP_PO_UNITS,0)+IF(16=CAP_PO2_TRIGGER+CAP_PO2_LEAD,CAP_PO2_UNITS,0)</f>
        <v>0</v>
      </c>
      <c r="S12" s="79" t="n">
        <f aca="false">IF(17=CAP_ARRIVAL,CAP_PO_UNITS,0)+IF(17=CAP_PO2_TRIGGER+CAP_PO2_LEAD,CAP_PO2_UNITS,0)</f>
        <v>0</v>
      </c>
    </row>
    <row r="13" customFormat="false" ht="15" hidden="false" customHeight="true" outlineLevel="0" collapsed="false">
      <c r="A13" s="1" t="s">
        <v>659</v>
      </c>
      <c r="B13" s="78" t="n">
        <v>0</v>
      </c>
      <c r="C13" s="93" t="n">
        <f aca="false">-(2_Revenue!C11+2_Revenue!C20)</f>
        <v>-0</v>
      </c>
      <c r="D13" s="93" t="n">
        <f aca="false">-(2_Revenue!D11+2_Revenue!D20)</f>
        <v>-0</v>
      </c>
      <c r="E13" s="93" t="n">
        <f aca="false">-(2_Revenue!E11+2_Revenue!E20)</f>
        <v>-0</v>
      </c>
      <c r="F13" s="93" t="n">
        <f aca="false">-(2_Revenue!F11+2_Revenue!F20)</f>
        <v>-2024</v>
      </c>
      <c r="G13" s="93" t="n">
        <f aca="false">-(2_Revenue!G11+2_Revenue!G20)</f>
        <v>-0</v>
      </c>
      <c r="H13" s="93" t="n">
        <f aca="false">-(2_Revenue!H11+2_Revenue!H20)</f>
        <v>-0</v>
      </c>
      <c r="I13" s="93" t="n">
        <f aca="false">-(2_Revenue!I11+2_Revenue!I20)</f>
        <v>-0</v>
      </c>
      <c r="J13" s="93" t="n">
        <f aca="false">-(2_Revenue!J11+2_Revenue!J20)</f>
        <v>-0</v>
      </c>
      <c r="K13" s="93" t="n">
        <f aca="false">-(2_Revenue!K11+2_Revenue!K20)</f>
        <v>-1343.8</v>
      </c>
      <c r="L13" s="93" t="n">
        <f aca="false">-(2_Revenue!L11+2_Revenue!L20)</f>
        <v>-1544</v>
      </c>
      <c r="M13" s="93" t="n">
        <f aca="false">-(2_Revenue!M11+2_Revenue!M20)</f>
        <v>-112.2</v>
      </c>
      <c r="N13" s="93" t="n">
        <f aca="false">-(2_Revenue!N11+2_Revenue!N20)</f>
        <v>-0</v>
      </c>
      <c r="O13" s="93" t="n">
        <f aca="false">-(2_Revenue!O11+2_Revenue!O20)</f>
        <v>-0</v>
      </c>
      <c r="P13" s="93" t="n">
        <f aca="false">-(2_Revenue!P11+2_Revenue!P20)</f>
        <v>-0</v>
      </c>
      <c r="Q13" s="93" t="n">
        <f aca="false">-(2_Revenue!Q11+2_Revenue!Q20)</f>
        <v>-0</v>
      </c>
      <c r="R13" s="93" t="n">
        <f aca="false">-(2_Revenue!R11+2_Revenue!R20)</f>
        <v>-0</v>
      </c>
      <c r="S13" s="93" t="n">
        <f aca="false">-(2_Revenue!S11+2_Revenue!S20)</f>
        <v>-0</v>
      </c>
    </row>
    <row r="14" customFormat="false" ht="15" hidden="false" customHeight="true" outlineLevel="0" collapsed="false">
      <c r="A14" s="76" t="s">
        <v>660</v>
      </c>
      <c r="B14" s="78" t="n">
        <f aca="false">ROUND(OB_INV/COST_COGS,0)</f>
        <v>24</v>
      </c>
      <c r="C14" s="79" t="n">
        <f aca="false">MAX(0,C11+C12+C13)</f>
        <v>24</v>
      </c>
      <c r="D14" s="79" t="n">
        <f aca="false">MAX(0,D11+D12+D13)</f>
        <v>24</v>
      </c>
      <c r="E14" s="79" t="n">
        <f aca="false">MAX(0,E11+E12+E13)</f>
        <v>24</v>
      </c>
      <c r="F14" s="79" t="n">
        <f aca="false">MAX(0,F11+F12+F13)</f>
        <v>0</v>
      </c>
      <c r="G14" s="79" t="n">
        <f aca="false">MAX(0,G11+G12+G13)</f>
        <v>0</v>
      </c>
      <c r="H14" s="79" t="n">
        <f aca="false">MAX(0,H11+H12+H13)</f>
        <v>0</v>
      </c>
      <c r="I14" s="79" t="n">
        <f aca="false">MAX(0,I11+I12+I13)</f>
        <v>0</v>
      </c>
      <c r="J14" s="79" t="n">
        <f aca="false">MAX(0,J11+J12+J13)</f>
        <v>0</v>
      </c>
      <c r="K14" s="79" t="n">
        <f aca="false">MAX(0,K11+K12+K13)</f>
        <v>1656.2</v>
      </c>
      <c r="L14" s="79" t="n">
        <f aca="false">MAX(0,L11+L12+L13)</f>
        <v>112.2</v>
      </c>
      <c r="M14" s="79" t="n">
        <f aca="false">MAX(0,M11+M12+M13)</f>
        <v>0</v>
      </c>
      <c r="N14" s="79" t="n">
        <f aca="false">MAX(0,N11+N12+N13)</f>
        <v>0</v>
      </c>
      <c r="O14" s="79" t="n">
        <f aca="false">MAX(0,O11+O12+O13)</f>
        <v>0</v>
      </c>
      <c r="P14" s="79" t="n">
        <f aca="false">MAX(0,P11+P12+P13)</f>
        <v>0</v>
      </c>
      <c r="Q14" s="79" t="n">
        <f aca="false">MAX(0,Q11+Q12+Q13)</f>
        <v>0</v>
      </c>
      <c r="R14" s="79" t="n">
        <f aca="false">MAX(0,R11+R12+R13)</f>
        <v>0</v>
      </c>
      <c r="S14" s="79" t="n">
        <f aca="false">MAX(0,S11+S12+S13)</f>
        <v>0</v>
      </c>
    </row>
    <row r="15" customFormat="false" ht="15" hidden="false" customHeight="true" outlineLevel="0" collapsed="false">
      <c r="A15" s="76" t="s">
        <v>661</v>
      </c>
      <c r="B15" s="81" t="n">
        <f aca="false">OB_INV</f>
        <v>3688</v>
      </c>
      <c r="C15" s="82" t="n">
        <f aca="false">C14*COST_COGS</f>
        <v>3648</v>
      </c>
      <c r="D15" s="82" t="n">
        <f aca="false">D14*COST_COGS</f>
        <v>3648</v>
      </c>
      <c r="E15" s="82" t="n">
        <f aca="false">E14*COST_COGS</f>
        <v>3648</v>
      </c>
      <c r="F15" s="82" t="n">
        <f aca="false">F14*COST_COGS</f>
        <v>0</v>
      </c>
      <c r="G15" s="82" t="n">
        <f aca="false">G14*COST_COGS</f>
        <v>0</v>
      </c>
      <c r="H15" s="82" t="n">
        <f aca="false">H14*COST_COGS</f>
        <v>0</v>
      </c>
      <c r="I15" s="82" t="n">
        <f aca="false">I14*COST_COGS</f>
        <v>0</v>
      </c>
      <c r="J15" s="82" t="n">
        <f aca="false">J14*COST_COGS</f>
        <v>0</v>
      </c>
      <c r="K15" s="82" t="n">
        <f aca="false">K14*COST_COGS</f>
        <v>251742.4</v>
      </c>
      <c r="L15" s="82" t="n">
        <f aca="false">L14*COST_COGS</f>
        <v>17054.4</v>
      </c>
      <c r="M15" s="82" t="n">
        <f aca="false">M14*COST_COGS</f>
        <v>0</v>
      </c>
      <c r="N15" s="82" t="n">
        <f aca="false">N14*COST_COGS</f>
        <v>0</v>
      </c>
      <c r="O15" s="82" t="n">
        <f aca="false">O14*COST_COGS</f>
        <v>0</v>
      </c>
      <c r="P15" s="82" t="n">
        <f aca="false">P14*COST_COGS</f>
        <v>0</v>
      </c>
      <c r="Q15" s="82" t="n">
        <f aca="false">Q14*COST_COGS</f>
        <v>0</v>
      </c>
      <c r="R15" s="82" t="n">
        <f aca="false">R14*COST_COGS</f>
        <v>0</v>
      </c>
      <c r="S15" s="82" t="n">
        <f aca="false">S14*COST_COGS</f>
        <v>0</v>
      </c>
    </row>
    <row r="17" customFormat="false" ht="15" hidden="false" customHeight="true" outlineLevel="0" collapsed="false">
      <c r="A17" s="48" t="s">
        <v>662</v>
      </c>
    </row>
    <row r="18" customFormat="false" ht="15" hidden="false" customHeight="true" outlineLevel="0" collapsed="false">
      <c r="A18" s="1" t="s">
        <v>663</v>
      </c>
      <c r="B18" s="81" t="n">
        <v>0</v>
      </c>
      <c r="C18" s="82" t="n">
        <f aca="false">B21</f>
        <v>447235</v>
      </c>
      <c r="D18" s="82" t="n">
        <f aca="false">C21</f>
        <v>447235</v>
      </c>
      <c r="E18" s="82" t="n">
        <f aca="false">D21</f>
        <v>447235</v>
      </c>
      <c r="F18" s="82" t="n">
        <f aca="false">E21</f>
        <v>447235</v>
      </c>
      <c r="G18" s="82" t="n">
        <f aca="false">F21</f>
        <v>0</v>
      </c>
      <c r="H18" s="82" t="n">
        <f aca="false">G21</f>
        <v>0</v>
      </c>
      <c r="I18" s="82" t="n">
        <f aca="false">H21</f>
        <v>0</v>
      </c>
      <c r="J18" s="82" t="n">
        <f aca="false">I21</f>
        <v>0</v>
      </c>
      <c r="K18" s="82" t="n">
        <f aca="false">J21</f>
        <v>0</v>
      </c>
      <c r="L18" s="82" t="n">
        <f aca="false">K21</f>
        <v>0</v>
      </c>
      <c r="M18" s="82" t="n">
        <f aca="false">L21</f>
        <v>0</v>
      </c>
      <c r="N18" s="82" t="n">
        <f aca="false">M21</f>
        <v>0</v>
      </c>
      <c r="O18" s="82" t="n">
        <f aca="false">N21</f>
        <v>0</v>
      </c>
      <c r="P18" s="82" t="n">
        <f aca="false">O21</f>
        <v>0</v>
      </c>
      <c r="Q18" s="82" t="n">
        <f aca="false">P21</f>
        <v>0</v>
      </c>
      <c r="R18" s="82" t="n">
        <f aca="false">Q21</f>
        <v>0</v>
      </c>
      <c r="S18" s="82" t="n">
        <f aca="false">R21</f>
        <v>0</v>
      </c>
    </row>
    <row r="19" customFormat="false" ht="15" hidden="false" customHeight="true" outlineLevel="0" collapsed="false">
      <c r="A19" s="1" t="s">
        <v>664</v>
      </c>
      <c r="B19" s="81" t="n">
        <v>0</v>
      </c>
      <c r="C19" s="82" t="n">
        <v>0</v>
      </c>
      <c r="D19" s="82" t="n">
        <v>0</v>
      </c>
      <c r="E19" s="82" t="n">
        <v>0</v>
      </c>
      <c r="F19" s="82" t="n">
        <v>0</v>
      </c>
      <c r="G19" s="82" t="n">
        <v>0</v>
      </c>
      <c r="H19" s="82" t="n">
        <v>0</v>
      </c>
      <c r="I19" s="82" t="n">
        <v>0</v>
      </c>
      <c r="J19" s="82" t="n">
        <v>0</v>
      </c>
      <c r="K19" s="82" t="n">
        <v>0</v>
      </c>
      <c r="L19" s="82" t="n">
        <v>0</v>
      </c>
      <c r="M19" s="82" t="n">
        <v>0</v>
      </c>
      <c r="N19" s="82" t="n">
        <v>0</v>
      </c>
      <c r="O19" s="82" t="n">
        <v>0</v>
      </c>
      <c r="P19" s="82" t="n">
        <v>0</v>
      </c>
      <c r="Q19" s="82" t="n">
        <v>0</v>
      </c>
      <c r="R19" s="82" t="n">
        <v>0</v>
      </c>
      <c r="S19" s="82" t="n">
        <v>0</v>
      </c>
    </row>
    <row r="20" customFormat="false" ht="15" hidden="false" customHeight="true" outlineLevel="0" collapsed="false">
      <c r="A20" s="1" t="s">
        <v>665</v>
      </c>
      <c r="B20" s="81" t="n">
        <v>0</v>
      </c>
      <c r="C20" s="82" t="n">
        <f aca="false">IF(1=CAP_ARRIVAL,-OB_DR,0)</f>
        <v>0</v>
      </c>
      <c r="D20" s="82" t="n">
        <f aca="false">IF(2=CAP_ARRIVAL,-OB_DR,0)</f>
        <v>0</v>
      </c>
      <c r="E20" s="82" t="n">
        <f aca="false">IF(3=CAP_ARRIVAL,-OB_DR,0)</f>
        <v>0</v>
      </c>
      <c r="F20" s="82" t="n">
        <f aca="false">IF(4=CAP_ARRIVAL,-OB_DR,0)</f>
        <v>-447235</v>
      </c>
      <c r="G20" s="82" t="n">
        <f aca="false">IF(5=CAP_ARRIVAL,-OB_DR,0)</f>
        <v>0</v>
      </c>
      <c r="H20" s="82" t="n">
        <f aca="false">IF(6=CAP_ARRIVAL,-OB_DR,0)</f>
        <v>0</v>
      </c>
      <c r="I20" s="82" t="n">
        <f aca="false">IF(7=CAP_ARRIVAL,-OB_DR,0)</f>
        <v>0</v>
      </c>
      <c r="J20" s="82" t="n">
        <f aca="false">IF(8=CAP_ARRIVAL,-OB_DR,0)</f>
        <v>0</v>
      </c>
      <c r="K20" s="82" t="n">
        <f aca="false">IF(9=CAP_ARRIVAL,-OB_DR,0)</f>
        <v>0</v>
      </c>
      <c r="L20" s="82" t="n">
        <f aca="false">IF(10=CAP_ARRIVAL,-OB_DR,0)</f>
        <v>0</v>
      </c>
      <c r="M20" s="82" t="n">
        <f aca="false">IF(11=CAP_ARRIVAL,-OB_DR,0)</f>
        <v>0</v>
      </c>
      <c r="N20" s="82" t="n">
        <f aca="false">IF(12=CAP_ARRIVAL,-OB_DR,0)</f>
        <v>0</v>
      </c>
      <c r="O20" s="82" t="n">
        <f aca="false">IF(13=CAP_ARRIVAL,-OB_DR,0)</f>
        <v>0</v>
      </c>
      <c r="P20" s="82" t="n">
        <f aca="false">IF(14=CAP_ARRIVAL,-OB_DR,0)</f>
        <v>0</v>
      </c>
      <c r="Q20" s="82" t="n">
        <f aca="false">IF(15=CAP_ARRIVAL,-OB_DR,0)</f>
        <v>0</v>
      </c>
      <c r="R20" s="82" t="n">
        <f aca="false">IF(16=CAP_ARRIVAL,-OB_DR,0)</f>
        <v>0</v>
      </c>
      <c r="S20" s="82" t="n">
        <f aca="false">IF(17=CAP_ARRIVAL,-OB_DR,0)</f>
        <v>0</v>
      </c>
    </row>
    <row r="21" customFormat="false" ht="15" hidden="false" customHeight="true" outlineLevel="0" collapsed="false">
      <c r="A21" s="76" t="s">
        <v>666</v>
      </c>
      <c r="B21" s="81" t="n">
        <f aca="false">OB_DR</f>
        <v>447235</v>
      </c>
      <c r="C21" s="82" t="n">
        <f aca="false">C18+C19+C20</f>
        <v>447235</v>
      </c>
      <c r="D21" s="82" t="n">
        <f aca="false">D18+D19+D20</f>
        <v>447235</v>
      </c>
      <c r="E21" s="82" t="n">
        <f aca="false">E18+E19+E20</f>
        <v>447235</v>
      </c>
      <c r="F21" s="82" t="n">
        <f aca="false">F18+F19+F20</f>
        <v>0</v>
      </c>
      <c r="G21" s="82" t="n">
        <f aca="false">G18+G19+G20</f>
        <v>0</v>
      </c>
      <c r="H21" s="82" t="n">
        <f aca="false">H18+H19+H20</f>
        <v>0</v>
      </c>
      <c r="I21" s="82" t="n">
        <f aca="false">I18+I19+I20</f>
        <v>0</v>
      </c>
      <c r="J21" s="82" t="n">
        <f aca="false">J18+J19+J20</f>
        <v>0</v>
      </c>
      <c r="K21" s="82" t="n">
        <f aca="false">K18+K19+K20</f>
        <v>0</v>
      </c>
      <c r="L21" s="82" t="n">
        <f aca="false">L18+L19+L20</f>
        <v>0</v>
      </c>
      <c r="M21" s="82" t="n">
        <f aca="false">M18+M19+M20</f>
        <v>0</v>
      </c>
      <c r="N21" s="82" t="n">
        <f aca="false">N18+N19+N20</f>
        <v>0</v>
      </c>
      <c r="O21" s="82" t="n">
        <f aca="false">O18+O19+O20</f>
        <v>0</v>
      </c>
      <c r="P21" s="82" t="n">
        <f aca="false">P18+P19+P20</f>
        <v>0</v>
      </c>
      <c r="Q21" s="82" t="n">
        <f aca="false">Q18+Q19+Q20</f>
        <v>0</v>
      </c>
      <c r="R21" s="82" t="n">
        <f aca="false">R18+R19+R20</f>
        <v>0</v>
      </c>
      <c r="S21" s="82" t="n">
        <f aca="false">S18+S19+S20</f>
        <v>0</v>
      </c>
    </row>
    <row r="23" customFormat="false" ht="15" hidden="false" customHeight="true" outlineLevel="0" collapsed="false">
      <c r="A23" s="48" t="s">
        <v>667</v>
      </c>
    </row>
    <row r="24" customFormat="false" ht="15" hidden="false" customHeight="true" outlineLevel="0" collapsed="false">
      <c r="A24" s="1" t="s">
        <v>663</v>
      </c>
      <c r="B24" s="81" t="n">
        <v>0</v>
      </c>
      <c r="C24" s="82" t="n">
        <f aca="false">B27</f>
        <v>80832</v>
      </c>
      <c r="D24" s="82" t="n">
        <f aca="false">C27</f>
        <v>110832</v>
      </c>
      <c r="E24" s="82" t="n">
        <f aca="false">D27</f>
        <v>110832</v>
      </c>
      <c r="F24" s="82" t="n">
        <f aca="false">E27</f>
        <v>230832</v>
      </c>
      <c r="G24" s="82" t="n">
        <f aca="false">F27</f>
        <v>0</v>
      </c>
      <c r="H24" s="82" t="n">
        <f aca="false">G27</f>
        <v>0</v>
      </c>
      <c r="I24" s="82" t="n">
        <f aca="false">H27</f>
        <v>0</v>
      </c>
      <c r="J24" s="82" t="n">
        <f aca="false">I27</f>
        <v>0</v>
      </c>
      <c r="K24" s="82" t="n">
        <f aca="false">J27</f>
        <v>0</v>
      </c>
      <c r="L24" s="82" t="n">
        <f aca="false">K27</f>
        <v>0</v>
      </c>
      <c r="M24" s="82" t="n">
        <f aca="false">L27</f>
        <v>0</v>
      </c>
      <c r="N24" s="82" t="n">
        <f aca="false">M27</f>
        <v>0</v>
      </c>
      <c r="O24" s="82" t="n">
        <f aca="false">N27</f>
        <v>0</v>
      </c>
      <c r="P24" s="82" t="n">
        <f aca="false">O27</f>
        <v>0</v>
      </c>
      <c r="Q24" s="82" t="n">
        <f aca="false">P27</f>
        <v>0</v>
      </c>
      <c r="R24" s="82" t="n">
        <f aca="false">Q27</f>
        <v>0</v>
      </c>
      <c r="S24" s="82" t="n">
        <f aca="false">R27</f>
        <v>0</v>
      </c>
    </row>
    <row r="25" customFormat="false" ht="15" hidden="false" customHeight="true" outlineLevel="0" collapsed="false">
      <c r="A25" s="1" t="s">
        <v>668</v>
      </c>
      <c r="B25" s="81" t="n">
        <v>0</v>
      </c>
      <c r="C25" s="82" t="n">
        <f aca="false">IF(1=1,CAP_PO_NOW,IF(1=CAP_ARRIVAL-1,CAP_PO_DEL,0))</f>
        <v>30000</v>
      </c>
      <c r="D25" s="82" t="n">
        <f aca="false">IF(2=1,CAP_PO_NOW,IF(2=CAP_ARRIVAL-1,CAP_PO_DEL,0))</f>
        <v>0</v>
      </c>
      <c r="E25" s="82" t="n">
        <f aca="false">IF(3=1,CAP_PO_NOW,IF(3=CAP_ARRIVAL-1,CAP_PO_DEL,0))</f>
        <v>120000</v>
      </c>
      <c r="F25" s="82" t="n">
        <f aca="false">IF(4=1,CAP_PO_NOW,IF(4=CAP_ARRIVAL-1,CAP_PO_DEL,0))</f>
        <v>0</v>
      </c>
      <c r="G25" s="82" t="n">
        <f aca="false">IF(5=1,CAP_PO_NOW,IF(5=CAP_ARRIVAL-1,CAP_PO_DEL,0))</f>
        <v>0</v>
      </c>
      <c r="H25" s="82" t="n">
        <f aca="false">IF(6=1,CAP_PO_NOW,IF(6=CAP_ARRIVAL-1,CAP_PO_DEL,0))</f>
        <v>0</v>
      </c>
      <c r="I25" s="82" t="n">
        <f aca="false">IF(7=1,CAP_PO_NOW,IF(7=CAP_ARRIVAL-1,CAP_PO_DEL,0))</f>
        <v>0</v>
      </c>
      <c r="J25" s="82" t="n">
        <f aca="false">IF(8=1,CAP_PO_NOW,IF(8=CAP_ARRIVAL-1,CAP_PO_DEL,0))</f>
        <v>0</v>
      </c>
      <c r="K25" s="82" t="n">
        <f aca="false">IF(9=1,CAP_PO_NOW,IF(9=CAP_ARRIVAL-1,CAP_PO_DEL,0))</f>
        <v>0</v>
      </c>
      <c r="L25" s="82" t="n">
        <f aca="false">IF(10=1,CAP_PO_NOW,IF(10=CAP_ARRIVAL-1,CAP_PO_DEL,0))</f>
        <v>0</v>
      </c>
      <c r="M25" s="82" t="n">
        <f aca="false">IF(11=1,CAP_PO_NOW,IF(11=CAP_ARRIVAL-1,CAP_PO_DEL,0))</f>
        <v>0</v>
      </c>
      <c r="N25" s="82" t="n">
        <f aca="false">IF(12=1,CAP_PO_NOW,IF(12=CAP_ARRIVAL-1,CAP_PO_DEL,0))</f>
        <v>0</v>
      </c>
      <c r="O25" s="82" t="n">
        <f aca="false">IF(13=1,CAP_PO_NOW,IF(13=CAP_ARRIVAL-1,CAP_PO_DEL,0))</f>
        <v>0</v>
      </c>
      <c r="P25" s="82" t="n">
        <f aca="false">IF(14=1,CAP_PO_NOW,IF(14=CAP_ARRIVAL-1,CAP_PO_DEL,0))</f>
        <v>0</v>
      </c>
      <c r="Q25" s="82" t="n">
        <f aca="false">IF(15=1,CAP_PO_NOW,IF(15=CAP_ARRIVAL-1,CAP_PO_DEL,0))</f>
        <v>0</v>
      </c>
      <c r="R25" s="82" t="n">
        <f aca="false">IF(16=1,CAP_PO_NOW,IF(16=CAP_ARRIVAL-1,CAP_PO_DEL,0))</f>
        <v>0</v>
      </c>
      <c r="S25" s="82" t="n">
        <f aca="false">IF(17=1,CAP_PO_NOW,IF(17=CAP_ARRIVAL-1,CAP_PO_DEL,0))</f>
        <v>0</v>
      </c>
    </row>
    <row r="26" customFormat="false" ht="15" hidden="false" customHeight="true" outlineLevel="0" collapsed="false">
      <c r="A26" s="1" t="s">
        <v>669</v>
      </c>
      <c r="B26" s="81" t="n">
        <v>0</v>
      </c>
      <c r="C26" s="82" t="n">
        <f aca="false">IF(1=CAP_ARRIVAL,-(C24+C25),0)</f>
        <v>0</v>
      </c>
      <c r="D26" s="82" t="n">
        <f aca="false">IF(2=CAP_ARRIVAL,-(D24+D25),0)</f>
        <v>0</v>
      </c>
      <c r="E26" s="82" t="n">
        <f aca="false">IF(3=CAP_ARRIVAL,-(E24+E25),0)</f>
        <v>0</v>
      </c>
      <c r="F26" s="82" t="n">
        <f aca="false">IF(4=CAP_ARRIVAL,-(F24+F25),0)</f>
        <v>-230832</v>
      </c>
      <c r="G26" s="82" t="n">
        <f aca="false">IF(5=CAP_ARRIVAL,-(G24+G25),0)</f>
        <v>0</v>
      </c>
      <c r="H26" s="82" t="n">
        <f aca="false">IF(6=CAP_ARRIVAL,-(H24+H25),0)</f>
        <v>0</v>
      </c>
      <c r="I26" s="82" t="n">
        <f aca="false">IF(7=CAP_ARRIVAL,-(I24+I25),0)</f>
        <v>0</v>
      </c>
      <c r="J26" s="82" t="n">
        <f aca="false">IF(8=CAP_ARRIVAL,-(J24+J25),0)</f>
        <v>0</v>
      </c>
      <c r="K26" s="82" t="n">
        <f aca="false">IF(9=CAP_ARRIVAL,-(K24+K25),0)</f>
        <v>0</v>
      </c>
      <c r="L26" s="82" t="n">
        <f aca="false">IF(10=CAP_ARRIVAL,-(L24+L25),0)</f>
        <v>0</v>
      </c>
      <c r="M26" s="82" t="n">
        <f aca="false">IF(11=CAP_ARRIVAL,-(M24+M25),0)</f>
        <v>0</v>
      </c>
      <c r="N26" s="82" t="n">
        <f aca="false">IF(12=CAP_ARRIVAL,-(N24+N25),0)</f>
        <v>0</v>
      </c>
      <c r="O26" s="82" t="n">
        <f aca="false">IF(13=CAP_ARRIVAL,-(O24+O25),0)</f>
        <v>0</v>
      </c>
      <c r="P26" s="82" t="n">
        <f aca="false">IF(14=CAP_ARRIVAL,-(P24+P25),0)</f>
        <v>0</v>
      </c>
      <c r="Q26" s="82" t="n">
        <f aca="false">IF(15=CAP_ARRIVAL,-(Q24+Q25),0)</f>
        <v>0</v>
      </c>
      <c r="R26" s="82" t="n">
        <f aca="false">IF(16=CAP_ARRIVAL,-(R24+R25),0)</f>
        <v>0</v>
      </c>
      <c r="S26" s="82" t="n">
        <f aca="false">IF(17=CAP_ARRIVAL,-(S24+S25),0)</f>
        <v>0</v>
      </c>
    </row>
    <row r="27" customFormat="false" ht="15" hidden="false" customHeight="true" outlineLevel="0" collapsed="false">
      <c r="A27" s="76" t="s">
        <v>670</v>
      </c>
      <c r="B27" s="81" t="n">
        <f aca="false">OB_PREPAID</f>
        <v>80832</v>
      </c>
      <c r="C27" s="82" t="n">
        <f aca="false">C24+C25+C26</f>
        <v>110832</v>
      </c>
      <c r="D27" s="82" t="n">
        <f aca="false">D24+D25+D26</f>
        <v>110832</v>
      </c>
      <c r="E27" s="82" t="n">
        <f aca="false">E24+E25+E26</f>
        <v>230832</v>
      </c>
      <c r="F27" s="82" t="n">
        <f aca="false">F24+F25+F26</f>
        <v>0</v>
      </c>
      <c r="G27" s="82" t="n">
        <f aca="false">G24+G25+G26</f>
        <v>0</v>
      </c>
      <c r="H27" s="82" t="n">
        <f aca="false">H24+H25+H26</f>
        <v>0</v>
      </c>
      <c r="I27" s="82" t="n">
        <f aca="false">I24+I25+I26</f>
        <v>0</v>
      </c>
      <c r="J27" s="82" t="n">
        <f aca="false">J24+J25+J26</f>
        <v>0</v>
      </c>
      <c r="K27" s="82" t="n">
        <f aca="false">K24+K25+K26</f>
        <v>0</v>
      </c>
      <c r="L27" s="82" t="n">
        <f aca="false">L24+L25+L26</f>
        <v>0</v>
      </c>
      <c r="M27" s="82" t="n">
        <f aca="false">M24+M25+M26</f>
        <v>0</v>
      </c>
      <c r="N27" s="82" t="n">
        <f aca="false">N24+N25+N26</f>
        <v>0</v>
      </c>
      <c r="O27" s="82" t="n">
        <f aca="false">O24+O25+O26</f>
        <v>0</v>
      </c>
      <c r="P27" s="82" t="n">
        <f aca="false">P24+P25+P26</f>
        <v>0</v>
      </c>
      <c r="Q27" s="82" t="n">
        <f aca="false">Q24+Q25+Q26</f>
        <v>0</v>
      </c>
      <c r="R27" s="82" t="n">
        <f aca="false">R24+R25+R26</f>
        <v>0</v>
      </c>
      <c r="S27" s="82" t="n">
        <f aca="false">S24+S25+S26</f>
        <v>0</v>
      </c>
    </row>
    <row r="29" customFormat="false" ht="15" hidden="false" customHeight="true" outlineLevel="0" collapsed="false">
      <c r="A29" s="1" t="s">
        <v>671</v>
      </c>
    </row>
    <row r="30" customFormat="false" ht="15" hidden="false" customHeight="true" outlineLevel="0" collapsed="false">
      <c r="A30" s="1" t="s">
        <v>663</v>
      </c>
      <c r="B30" s="1" t="n">
        <v>0</v>
      </c>
      <c r="C30" s="94" t="n">
        <f aca="false">B33</f>
        <v>0</v>
      </c>
      <c r="D30" s="94" t="n">
        <f aca="false">C33</f>
        <v>0</v>
      </c>
      <c r="E30" s="94" t="n">
        <f aca="false">D33</f>
        <v>0</v>
      </c>
      <c r="F30" s="94" t="n">
        <f aca="false">E33</f>
        <v>0</v>
      </c>
      <c r="G30" s="94" t="n">
        <f aca="false">F33</f>
        <v>0</v>
      </c>
      <c r="H30" s="94" t="n">
        <f aca="false">G33</f>
        <v>182400</v>
      </c>
      <c r="I30" s="94" t="n">
        <f aca="false">H33</f>
        <v>182400</v>
      </c>
      <c r="J30" s="94" t="n">
        <f aca="false">I33</f>
        <v>182400</v>
      </c>
      <c r="K30" s="94" t="n">
        <f aca="false">J33</f>
        <v>456000</v>
      </c>
      <c r="L30" s="94" t="n">
        <f aca="false">K33</f>
        <v>0</v>
      </c>
      <c r="M30" s="94" t="n">
        <f aca="false">L33</f>
        <v>0</v>
      </c>
      <c r="N30" s="94" t="n">
        <f aca="false">M33</f>
        <v>0</v>
      </c>
      <c r="O30" s="94" t="n">
        <f aca="false">N33</f>
        <v>0</v>
      </c>
      <c r="P30" s="94" t="n">
        <f aca="false">O33</f>
        <v>0</v>
      </c>
      <c r="Q30" s="94" t="n">
        <f aca="false">P33</f>
        <v>0</v>
      </c>
      <c r="R30" s="94" t="n">
        <f aca="false">Q33</f>
        <v>0</v>
      </c>
      <c r="S30" s="94" t="n">
        <f aca="false">R33</f>
        <v>0</v>
      </c>
    </row>
    <row r="31" customFormat="false" ht="15" hidden="false" customHeight="true" outlineLevel="0" collapsed="false">
      <c r="A31" s="1" t="s">
        <v>672</v>
      </c>
      <c r="B31" s="1" t="n">
        <v>0</v>
      </c>
      <c r="C31" s="1" t="n">
        <f aca="false">IF(1=CAP_PO2_TRIGGER,CAP_PO2_UNITS*CAP_PO2_COST*CAP_PO2_DEP_PCT,IF(1=CAP_PO2_TRIGGER+CAP_PO2_LEAD-1,CAP_PO2_UNITS*CAP_PO2_COST*(1-CAP_PO2_DEP_PCT),0))</f>
        <v>0</v>
      </c>
      <c r="D31" s="1" t="n">
        <f aca="false">IF(2=CAP_PO2_TRIGGER,CAP_PO2_UNITS*CAP_PO2_COST*CAP_PO2_DEP_PCT,IF(2=CAP_PO2_TRIGGER+CAP_PO2_LEAD-1,CAP_PO2_UNITS*CAP_PO2_COST*(1-CAP_PO2_DEP_PCT),0))</f>
        <v>0</v>
      </c>
      <c r="E31" s="1" t="n">
        <f aca="false">IF(3=CAP_PO2_TRIGGER,CAP_PO2_UNITS*CAP_PO2_COST*CAP_PO2_DEP_PCT,IF(3=CAP_PO2_TRIGGER+CAP_PO2_LEAD-1,CAP_PO2_UNITS*CAP_PO2_COST*(1-CAP_PO2_DEP_PCT),0))</f>
        <v>0</v>
      </c>
      <c r="F31" s="1" t="n">
        <f aca="false">IF(4=CAP_PO2_TRIGGER,CAP_PO2_UNITS*CAP_PO2_COST*CAP_PO2_DEP_PCT,IF(4=CAP_PO2_TRIGGER+CAP_PO2_LEAD-1,CAP_PO2_UNITS*CAP_PO2_COST*(1-CAP_PO2_DEP_PCT),0))</f>
        <v>0</v>
      </c>
      <c r="G31" s="1" t="n">
        <f aca="false">IF(5=CAP_PO2_TRIGGER,CAP_PO2_UNITS*CAP_PO2_COST*CAP_PO2_DEP_PCT,IF(5=CAP_PO2_TRIGGER+CAP_PO2_LEAD-1,CAP_PO2_UNITS*CAP_PO2_COST*(1-CAP_PO2_DEP_PCT),0))</f>
        <v>182400</v>
      </c>
      <c r="H31" s="1" t="n">
        <f aca="false">IF(6=CAP_PO2_TRIGGER,CAP_PO2_UNITS*CAP_PO2_COST*CAP_PO2_DEP_PCT,IF(6=CAP_PO2_TRIGGER+CAP_PO2_LEAD-1,CAP_PO2_UNITS*CAP_PO2_COST*(1-CAP_PO2_DEP_PCT),0))</f>
        <v>0</v>
      </c>
      <c r="I31" s="1" t="n">
        <f aca="false">IF(7=CAP_PO2_TRIGGER,CAP_PO2_UNITS*CAP_PO2_COST*CAP_PO2_DEP_PCT,IF(7=CAP_PO2_TRIGGER+CAP_PO2_LEAD-1,CAP_PO2_UNITS*CAP_PO2_COST*(1-CAP_PO2_DEP_PCT),0))</f>
        <v>0</v>
      </c>
      <c r="J31" s="1" t="n">
        <f aca="false">IF(8=CAP_PO2_TRIGGER,CAP_PO2_UNITS*CAP_PO2_COST*CAP_PO2_DEP_PCT,IF(8=CAP_PO2_TRIGGER+CAP_PO2_LEAD-1,CAP_PO2_UNITS*CAP_PO2_COST*(1-CAP_PO2_DEP_PCT),0))</f>
        <v>273600</v>
      </c>
      <c r="K31" s="1" t="n">
        <f aca="false">IF(9=CAP_PO2_TRIGGER,CAP_PO2_UNITS*CAP_PO2_COST*CAP_PO2_DEP_PCT,IF(9=CAP_PO2_TRIGGER+CAP_PO2_LEAD-1,CAP_PO2_UNITS*CAP_PO2_COST*(1-CAP_PO2_DEP_PCT),0))</f>
        <v>0</v>
      </c>
      <c r="L31" s="1" t="n">
        <f aca="false">IF(10=CAP_PO2_TRIGGER,CAP_PO2_UNITS*CAP_PO2_COST*CAP_PO2_DEP_PCT,IF(10=CAP_PO2_TRIGGER+CAP_PO2_LEAD-1,CAP_PO2_UNITS*CAP_PO2_COST*(1-CAP_PO2_DEP_PCT),0))</f>
        <v>0</v>
      </c>
      <c r="M31" s="1" t="n">
        <f aca="false">IF(11=CAP_PO2_TRIGGER,CAP_PO2_UNITS*CAP_PO2_COST*CAP_PO2_DEP_PCT,IF(11=CAP_PO2_TRIGGER+CAP_PO2_LEAD-1,CAP_PO2_UNITS*CAP_PO2_COST*(1-CAP_PO2_DEP_PCT),0))</f>
        <v>0</v>
      </c>
      <c r="N31" s="1" t="n">
        <f aca="false">IF(12=CAP_PO2_TRIGGER,CAP_PO2_UNITS*CAP_PO2_COST*CAP_PO2_DEP_PCT,IF(12=CAP_PO2_TRIGGER+CAP_PO2_LEAD-1,CAP_PO2_UNITS*CAP_PO2_COST*(1-CAP_PO2_DEP_PCT),0))</f>
        <v>0</v>
      </c>
      <c r="O31" s="1" t="n">
        <f aca="false">IF(13=CAP_PO2_TRIGGER,CAP_PO2_UNITS*CAP_PO2_COST*CAP_PO2_DEP_PCT,IF(13=CAP_PO2_TRIGGER+CAP_PO2_LEAD-1,CAP_PO2_UNITS*CAP_PO2_COST*(1-CAP_PO2_DEP_PCT),0))</f>
        <v>0</v>
      </c>
      <c r="P31" s="1" t="n">
        <f aca="false">IF(14=CAP_PO2_TRIGGER,CAP_PO2_UNITS*CAP_PO2_COST*CAP_PO2_DEP_PCT,IF(14=CAP_PO2_TRIGGER+CAP_PO2_LEAD-1,CAP_PO2_UNITS*CAP_PO2_COST*(1-CAP_PO2_DEP_PCT),0))</f>
        <v>0</v>
      </c>
      <c r="Q31" s="1" t="n">
        <f aca="false">IF(15=CAP_PO2_TRIGGER,CAP_PO2_UNITS*CAP_PO2_COST*CAP_PO2_DEP_PCT,IF(15=CAP_PO2_TRIGGER+CAP_PO2_LEAD-1,CAP_PO2_UNITS*CAP_PO2_COST*(1-CAP_PO2_DEP_PCT),0))</f>
        <v>0</v>
      </c>
      <c r="R31" s="1" t="n">
        <f aca="false">IF(16=CAP_PO2_TRIGGER,CAP_PO2_UNITS*CAP_PO2_COST*CAP_PO2_DEP_PCT,IF(16=CAP_PO2_TRIGGER+CAP_PO2_LEAD-1,CAP_PO2_UNITS*CAP_PO2_COST*(1-CAP_PO2_DEP_PCT),0))</f>
        <v>0</v>
      </c>
      <c r="S31" s="1" t="n">
        <f aca="false">IF(17=CAP_PO2_TRIGGER,CAP_PO2_UNITS*CAP_PO2_COST*CAP_PO2_DEP_PCT,IF(17=CAP_PO2_TRIGGER+CAP_PO2_LEAD-1,CAP_PO2_UNITS*CAP_PO2_COST*(1-CAP_PO2_DEP_PCT),0))</f>
        <v>0</v>
      </c>
    </row>
    <row r="32" customFormat="false" ht="15" hidden="false" customHeight="true" outlineLevel="0" collapsed="false">
      <c r="A32" s="1" t="s">
        <v>673</v>
      </c>
      <c r="B32" s="1" t="n">
        <v>0</v>
      </c>
      <c r="C32" s="1" t="n">
        <f aca="false">IF(1=CAP_PO2_TRIGGER+CAP_PO2_LEAD,-(C30+C31),0)</f>
        <v>0</v>
      </c>
      <c r="D32" s="1" t="n">
        <f aca="false">IF(2=CAP_PO2_TRIGGER+CAP_PO2_LEAD,-(D30+D31),0)</f>
        <v>0</v>
      </c>
      <c r="E32" s="1" t="n">
        <f aca="false">IF(3=CAP_PO2_TRIGGER+CAP_PO2_LEAD,-(E30+E31),0)</f>
        <v>0</v>
      </c>
      <c r="F32" s="1" t="n">
        <f aca="false">IF(4=CAP_PO2_TRIGGER+CAP_PO2_LEAD,-(F30+F31),0)</f>
        <v>0</v>
      </c>
      <c r="G32" s="1" t="n">
        <f aca="false">IF(5=CAP_PO2_TRIGGER+CAP_PO2_LEAD,-(G30+G31),0)</f>
        <v>0</v>
      </c>
      <c r="H32" s="1" t="n">
        <f aca="false">IF(6=CAP_PO2_TRIGGER+CAP_PO2_LEAD,-(H30+H31),0)</f>
        <v>0</v>
      </c>
      <c r="I32" s="1" t="n">
        <f aca="false">IF(7=CAP_PO2_TRIGGER+CAP_PO2_LEAD,-(I30+I31),0)</f>
        <v>0</v>
      </c>
      <c r="J32" s="1" t="n">
        <f aca="false">IF(8=CAP_PO2_TRIGGER+CAP_PO2_LEAD,-(J30+J31),0)</f>
        <v>0</v>
      </c>
      <c r="K32" s="1" t="n">
        <f aca="false">IF(9=CAP_PO2_TRIGGER+CAP_PO2_LEAD,-(K30+K31),0)</f>
        <v>-456000</v>
      </c>
      <c r="L32" s="1" t="n">
        <f aca="false">IF(10=CAP_PO2_TRIGGER+CAP_PO2_LEAD,-(L30+L31),0)</f>
        <v>0</v>
      </c>
      <c r="M32" s="1" t="n">
        <f aca="false">IF(11=CAP_PO2_TRIGGER+CAP_PO2_LEAD,-(M30+M31),0)</f>
        <v>0</v>
      </c>
      <c r="N32" s="1" t="n">
        <f aca="false">IF(12=CAP_PO2_TRIGGER+CAP_PO2_LEAD,-(N30+N31),0)</f>
        <v>0</v>
      </c>
      <c r="O32" s="1" t="n">
        <f aca="false">IF(13=CAP_PO2_TRIGGER+CAP_PO2_LEAD,-(O30+O31),0)</f>
        <v>0</v>
      </c>
      <c r="P32" s="1" t="n">
        <f aca="false">IF(14=CAP_PO2_TRIGGER+CAP_PO2_LEAD,-(P30+P31),0)</f>
        <v>0</v>
      </c>
      <c r="Q32" s="1" t="n">
        <f aca="false">IF(15=CAP_PO2_TRIGGER+CAP_PO2_LEAD,-(Q30+Q31),0)</f>
        <v>0</v>
      </c>
      <c r="R32" s="1" t="n">
        <f aca="false">IF(16=CAP_PO2_TRIGGER+CAP_PO2_LEAD,-(R30+R31),0)</f>
        <v>0</v>
      </c>
      <c r="S32" s="1" t="n">
        <f aca="false">IF(17=CAP_PO2_TRIGGER+CAP_PO2_LEAD,-(S30+S31),0)</f>
        <v>0</v>
      </c>
    </row>
    <row r="33" customFormat="false" ht="15" hidden="false" customHeight="true" outlineLevel="0" collapsed="false">
      <c r="A33" s="1" t="s">
        <v>674</v>
      </c>
      <c r="B33" s="1" t="n">
        <v>0</v>
      </c>
      <c r="C33" s="1" t="n">
        <f aca="false">C30+C31+C32</f>
        <v>0</v>
      </c>
      <c r="D33" s="1" t="n">
        <f aca="false">D30+D31+D32</f>
        <v>0</v>
      </c>
      <c r="E33" s="1" t="n">
        <f aca="false">E30+E31+E32</f>
        <v>0</v>
      </c>
      <c r="F33" s="1" t="n">
        <f aca="false">F30+F31+F32</f>
        <v>0</v>
      </c>
      <c r="G33" s="1" t="n">
        <f aca="false">G30+G31+G32</f>
        <v>182400</v>
      </c>
      <c r="H33" s="1" t="n">
        <f aca="false">H30+H31+H32</f>
        <v>182400</v>
      </c>
      <c r="I33" s="1" t="n">
        <f aca="false">I30+I31+I32</f>
        <v>182400</v>
      </c>
      <c r="J33" s="1" t="n">
        <f aca="false">J30+J31+J32</f>
        <v>456000</v>
      </c>
      <c r="K33" s="1" t="n">
        <f aca="false">K30+K31+K32</f>
        <v>0</v>
      </c>
      <c r="L33" s="1" t="n">
        <f aca="false">L30+L31+L32</f>
        <v>0</v>
      </c>
      <c r="M33" s="1" t="n">
        <f aca="false">M30+M31+M32</f>
        <v>0</v>
      </c>
      <c r="N33" s="1" t="n">
        <f aca="false">N30+N31+N32</f>
        <v>0</v>
      </c>
      <c r="O33" s="1" t="n">
        <f aca="false">O30+O31+O32</f>
        <v>0</v>
      </c>
      <c r="P33" s="1" t="n">
        <f aca="false">P30+P31+P32</f>
        <v>0</v>
      </c>
      <c r="Q33" s="1" t="n">
        <f aca="false">Q30+Q31+Q32</f>
        <v>0</v>
      </c>
      <c r="R33" s="1" t="n">
        <f aca="false">R30+R31+R32</f>
        <v>0</v>
      </c>
      <c r="S33" s="1" t="n">
        <f aca="false">S30+S31+S32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9" min="2" style="1" width="14"/>
  </cols>
  <sheetData>
    <row r="1" customFormat="false" ht="15" hidden="false" customHeight="true" outlineLevel="0" collapsed="false">
      <c r="A1" s="75" t="s">
        <v>675</v>
      </c>
    </row>
    <row r="2" customFormat="false" ht="15" hidden="false" customHeight="true" outlineLevel="0" collapsed="false">
      <c r="A2" s="76" t="s">
        <v>592</v>
      </c>
      <c r="B2" s="77" t="s">
        <v>328</v>
      </c>
      <c r="C2" s="77" t="s">
        <v>329</v>
      </c>
      <c r="D2" s="77" t="s">
        <v>330</v>
      </c>
      <c r="E2" s="77" t="s">
        <v>331</v>
      </c>
      <c r="F2" s="77" t="s">
        <v>332</v>
      </c>
      <c r="G2" s="77" t="s">
        <v>333</v>
      </c>
      <c r="H2" s="77" t="s">
        <v>334</v>
      </c>
      <c r="I2" s="77" t="s">
        <v>335</v>
      </c>
      <c r="J2" s="77" t="s">
        <v>336</v>
      </c>
      <c r="K2" s="77" t="s">
        <v>337</v>
      </c>
      <c r="L2" s="77" t="s">
        <v>338</v>
      </c>
      <c r="M2" s="77" t="s">
        <v>339</v>
      </c>
      <c r="N2" s="77" t="s">
        <v>340</v>
      </c>
      <c r="O2" s="77" t="s">
        <v>341</v>
      </c>
      <c r="P2" s="77" t="s">
        <v>342</v>
      </c>
      <c r="Q2" s="77" t="s">
        <v>343</v>
      </c>
      <c r="R2" s="77" t="s">
        <v>344</v>
      </c>
      <c r="S2" s="77" t="s">
        <v>345</v>
      </c>
    </row>
    <row r="4" customFormat="false" ht="15" hidden="false" customHeight="true" outlineLevel="0" collapsed="false">
      <c r="A4" s="48" t="s">
        <v>676</v>
      </c>
    </row>
    <row r="5" customFormat="false" ht="15" hidden="false" customHeight="true" outlineLevel="0" collapsed="false">
      <c r="A5" s="1" t="s">
        <v>677</v>
      </c>
      <c r="B5" s="81" t="n">
        <f aca="false">3_IS!B17</f>
        <v>0</v>
      </c>
      <c r="C5" s="91" t="n">
        <f aca="false">3_IS!C17</f>
        <v>-13021.2810833333</v>
      </c>
      <c r="D5" s="91" t="n">
        <f aca="false">3_IS!D17</f>
        <v>-12977.7823878576</v>
      </c>
      <c r="E5" s="91" t="n">
        <f aca="false">3_IS!E17</f>
        <v>-12933.9012663509</v>
      </c>
      <c r="F5" s="91" t="n">
        <f aca="false">3_IS!F17</f>
        <v>285144.365643349</v>
      </c>
      <c r="G5" s="91" t="n">
        <f aca="false">3_IS!G17</f>
        <v>-12844.9782670364</v>
      </c>
      <c r="H5" s="91" t="n">
        <f aca="false">3_IS!H17</f>
        <v>-12799.9295759675</v>
      </c>
      <c r="I5" s="91" t="n">
        <f aca="false">3_IS!I17</f>
        <v>-12754.4848318229</v>
      </c>
      <c r="J5" s="91" t="n">
        <f aca="false">3_IS!J17</f>
        <v>-12708.640552636</v>
      </c>
      <c r="K5" s="91" t="n">
        <f aca="false">3_IS!K17</f>
        <v>185212.156774172</v>
      </c>
      <c r="L5" s="91" t="n">
        <f aca="false">3_IS!L17</f>
        <v>214738.260692062</v>
      </c>
      <c r="M5" s="91" t="n">
        <f aca="false">3_IS!M17</f>
        <v>3952.77477564609</v>
      </c>
      <c r="N5" s="91" t="n">
        <f aca="false">3_IS!N17</f>
        <v>-10147.7373690347</v>
      </c>
      <c r="O5" s="91" t="n">
        <f aca="false">3_IS!O17</f>
        <v>-10068.5990375708</v>
      </c>
      <c r="P5" s="91" t="n">
        <f aca="false">3_IS!P17</f>
        <v>-9988.83133979277</v>
      </c>
      <c r="Q5" s="91" t="n">
        <f aca="false">3_IS!Q17</f>
        <v>-9908.42918513189</v>
      </c>
      <c r="R5" s="91" t="n">
        <f aca="false">3_IS!R17</f>
        <v>-9827.38744121558</v>
      </c>
      <c r="S5" s="91" t="n">
        <f aca="false">3_IS!S17</f>
        <v>-9745.70093351954</v>
      </c>
    </row>
    <row r="6" customFormat="false" ht="15" hidden="false" customHeight="true" outlineLevel="0" collapsed="false">
      <c r="A6" s="1" t="s">
        <v>678</v>
      </c>
      <c r="B6" s="81" t="n">
        <v>0</v>
      </c>
      <c r="C6" s="82" t="n">
        <f aca="false">-(4_WC!C8-4_WC!B8)</f>
        <v>-0</v>
      </c>
      <c r="D6" s="82" t="n">
        <f aca="false">-(4_WC!D8-4_WC!C8)</f>
        <v>-0</v>
      </c>
      <c r="E6" s="82" t="n">
        <f aca="false">-(4_WC!E8-4_WC!D8)</f>
        <v>-0</v>
      </c>
      <c r="F6" s="82" t="n">
        <f aca="false">-(4_WC!F8-4_WC!E8)</f>
        <v>369366</v>
      </c>
      <c r="G6" s="82" t="n">
        <f aca="false">-(4_WC!G8-4_WC!F8)</f>
        <v>-0</v>
      </c>
      <c r="H6" s="82" t="n">
        <f aca="false">-(4_WC!H8-4_WC!G8)</f>
        <v>-0</v>
      </c>
      <c r="I6" s="82" t="n">
        <f aca="false">-(4_WC!I8-4_WC!H8)</f>
        <v>-0</v>
      </c>
      <c r="J6" s="82" t="n">
        <f aca="false">-(4_WC!J8-4_WC!I8)</f>
        <v>-0</v>
      </c>
      <c r="K6" s="82" t="n">
        <f aca="false">-(4_WC!K8-4_WC!J8)</f>
        <v>-0</v>
      </c>
      <c r="L6" s="82" t="n">
        <f aca="false">-(4_WC!L8-4_WC!K8)</f>
        <v>-0</v>
      </c>
      <c r="M6" s="82" t="n">
        <f aca="false">-(4_WC!M8-4_WC!L8)</f>
        <v>-0</v>
      </c>
      <c r="N6" s="82" t="n">
        <f aca="false">-(4_WC!N8-4_WC!M8)</f>
        <v>-0</v>
      </c>
      <c r="O6" s="82" t="n">
        <f aca="false">-(4_WC!O8-4_WC!N8)</f>
        <v>-0</v>
      </c>
      <c r="P6" s="82" t="n">
        <f aca="false">-(4_WC!P8-4_WC!O8)</f>
        <v>-0</v>
      </c>
      <c r="Q6" s="82" t="n">
        <f aca="false">-(4_WC!Q8-4_WC!P8)</f>
        <v>-0</v>
      </c>
      <c r="R6" s="82" t="n">
        <f aca="false">-(4_WC!R8-4_WC!Q8)</f>
        <v>-0</v>
      </c>
      <c r="S6" s="82" t="n">
        <f aca="false">-(4_WC!S8-4_WC!R8)</f>
        <v>-0</v>
      </c>
    </row>
    <row r="7" customFormat="false" ht="15" hidden="false" customHeight="true" outlineLevel="0" collapsed="false">
      <c r="A7" s="1" t="s">
        <v>679</v>
      </c>
      <c r="B7" s="81" t="n">
        <v>0</v>
      </c>
      <c r="C7" s="82" t="n">
        <f aca="false">-(4_WC!C15-4_WC!B15)</f>
        <v>40</v>
      </c>
      <c r="D7" s="82" t="n">
        <f aca="false">-(4_WC!D15-4_WC!C15)</f>
        <v>-0</v>
      </c>
      <c r="E7" s="82" t="n">
        <f aca="false">-(4_WC!E15-4_WC!D15)</f>
        <v>-0</v>
      </c>
      <c r="F7" s="82" t="n">
        <f aca="false">-(4_WC!F15-4_WC!E15)</f>
        <v>3648</v>
      </c>
      <c r="G7" s="82" t="n">
        <f aca="false">-(4_WC!G15-4_WC!F15)</f>
        <v>-0</v>
      </c>
      <c r="H7" s="82" t="n">
        <f aca="false">-(4_WC!H15-4_WC!G15)</f>
        <v>-0</v>
      </c>
      <c r="I7" s="82" t="n">
        <f aca="false">-(4_WC!I15-4_WC!H15)</f>
        <v>-0</v>
      </c>
      <c r="J7" s="82" t="n">
        <f aca="false">-(4_WC!J15-4_WC!I15)</f>
        <v>-0</v>
      </c>
      <c r="K7" s="82" t="n">
        <f aca="false">-(4_WC!K15-4_WC!J15)</f>
        <v>-251742.4</v>
      </c>
      <c r="L7" s="82" t="n">
        <f aca="false">-(4_WC!L15-4_WC!K15)</f>
        <v>234688</v>
      </c>
      <c r="M7" s="82" t="n">
        <f aca="false">-(4_WC!M15-4_WC!L15)</f>
        <v>17054.4</v>
      </c>
      <c r="N7" s="82" t="n">
        <f aca="false">-(4_WC!N15-4_WC!M15)</f>
        <v>-0</v>
      </c>
      <c r="O7" s="82" t="n">
        <f aca="false">-(4_WC!O15-4_WC!N15)</f>
        <v>-0</v>
      </c>
      <c r="P7" s="82" t="n">
        <f aca="false">-(4_WC!P15-4_WC!O15)</f>
        <v>-0</v>
      </c>
      <c r="Q7" s="82" t="n">
        <f aca="false">-(4_WC!Q15-4_WC!P15)</f>
        <v>-0</v>
      </c>
      <c r="R7" s="82" t="n">
        <f aca="false">-(4_WC!R15-4_WC!Q15)</f>
        <v>-0</v>
      </c>
      <c r="S7" s="82" t="n">
        <f aca="false">-(4_WC!S15-4_WC!R15)</f>
        <v>-0</v>
      </c>
    </row>
    <row r="8" customFormat="false" ht="15" hidden="false" customHeight="true" outlineLevel="0" collapsed="false">
      <c r="A8" s="1" t="s">
        <v>680</v>
      </c>
      <c r="B8" s="81" t="n">
        <v>0</v>
      </c>
      <c r="C8" s="82" t="n">
        <f aca="false">4_WC!C21-4_WC!B21</f>
        <v>0</v>
      </c>
      <c r="D8" s="82" t="n">
        <f aca="false">4_WC!D21-4_WC!C21</f>
        <v>0</v>
      </c>
      <c r="E8" s="82" t="n">
        <f aca="false">4_WC!E21-4_WC!D21</f>
        <v>0</v>
      </c>
      <c r="F8" s="82" t="n">
        <f aca="false">4_WC!F21-4_WC!E21</f>
        <v>-447235</v>
      </c>
      <c r="G8" s="82" t="n">
        <f aca="false">4_WC!G21-4_WC!F21</f>
        <v>0</v>
      </c>
      <c r="H8" s="82" t="n">
        <f aca="false">4_WC!H21-4_WC!G21</f>
        <v>0</v>
      </c>
      <c r="I8" s="82" t="n">
        <f aca="false">4_WC!I21-4_WC!H21</f>
        <v>0</v>
      </c>
      <c r="J8" s="82" t="n">
        <f aca="false">4_WC!J21-4_WC!I21</f>
        <v>0</v>
      </c>
      <c r="K8" s="82" t="n">
        <f aca="false">4_WC!K21-4_WC!J21</f>
        <v>0</v>
      </c>
      <c r="L8" s="82" t="n">
        <f aca="false">4_WC!L21-4_WC!K21</f>
        <v>0</v>
      </c>
      <c r="M8" s="82" t="n">
        <f aca="false">4_WC!M21-4_WC!L21</f>
        <v>0</v>
      </c>
      <c r="N8" s="82" t="n">
        <f aca="false">4_WC!N21-4_WC!M21</f>
        <v>0</v>
      </c>
      <c r="O8" s="82" t="n">
        <f aca="false">4_WC!O21-4_WC!N21</f>
        <v>0</v>
      </c>
      <c r="P8" s="82" t="n">
        <f aca="false">4_WC!P21-4_WC!O21</f>
        <v>0</v>
      </c>
      <c r="Q8" s="82" t="n">
        <f aca="false">4_WC!Q21-4_WC!P21</f>
        <v>0</v>
      </c>
      <c r="R8" s="82" t="n">
        <f aca="false">4_WC!R21-4_WC!Q21</f>
        <v>0</v>
      </c>
      <c r="S8" s="82" t="n">
        <f aca="false">4_WC!S21-4_WC!R21</f>
        <v>0</v>
      </c>
    </row>
    <row r="9" customFormat="false" ht="15" hidden="false" customHeight="true" outlineLevel="0" collapsed="false">
      <c r="A9" s="1" t="s">
        <v>681</v>
      </c>
      <c r="B9" s="81" t="n">
        <v>0</v>
      </c>
      <c r="C9" s="90" t="n">
        <f aca="false">-(4_WC!C27+4_WC!C33-4_WC!B27-4_WC!B33)</f>
        <v>-30000</v>
      </c>
      <c r="D9" s="90" t="n">
        <f aca="false">-(4_WC!D27+4_WC!D33-4_WC!C27-4_WC!C33)</f>
        <v>-0</v>
      </c>
      <c r="E9" s="90" t="n">
        <f aca="false">-(4_WC!E27+4_WC!E33-4_WC!D27-4_WC!D33)</f>
        <v>-120000</v>
      </c>
      <c r="F9" s="90" t="n">
        <f aca="false">-(4_WC!F27+4_WC!F33-4_WC!E27-4_WC!E33)</f>
        <v>230832</v>
      </c>
      <c r="G9" s="90" t="n">
        <f aca="false">-(4_WC!G27+4_WC!G33-4_WC!F27-4_WC!F33)</f>
        <v>-182400</v>
      </c>
      <c r="H9" s="90" t="n">
        <f aca="false">-(4_WC!H27+4_WC!H33-4_WC!G27-4_WC!G33)</f>
        <v>-0</v>
      </c>
      <c r="I9" s="90" t="n">
        <f aca="false">-(4_WC!I27+4_WC!I33-4_WC!H27-4_WC!H33)</f>
        <v>-0</v>
      </c>
      <c r="J9" s="90" t="n">
        <f aca="false">-(4_WC!J27+4_WC!J33-4_WC!I27-4_WC!I33)</f>
        <v>-273600</v>
      </c>
      <c r="K9" s="90" t="n">
        <f aca="false">-(4_WC!K27+4_WC!K33-4_WC!J27-4_WC!J33)</f>
        <v>456000</v>
      </c>
      <c r="L9" s="90" t="n">
        <f aca="false">-(4_WC!L27+4_WC!L33-4_WC!K27-4_WC!K33)</f>
        <v>-0</v>
      </c>
      <c r="M9" s="90" t="n">
        <f aca="false">-(4_WC!M27+4_WC!M33-4_WC!L27-4_WC!L33)</f>
        <v>-0</v>
      </c>
      <c r="N9" s="90" t="n">
        <f aca="false">-(4_WC!N27+4_WC!N33-4_WC!M27-4_WC!M33)</f>
        <v>-0</v>
      </c>
      <c r="O9" s="90" t="n">
        <f aca="false">-(4_WC!O27+4_WC!O33-4_WC!N27-4_WC!N33)</f>
        <v>-0</v>
      </c>
      <c r="P9" s="90" t="n">
        <f aca="false">-(4_WC!P27+4_WC!P33-4_WC!O27-4_WC!O33)</f>
        <v>-0</v>
      </c>
      <c r="Q9" s="90" t="n">
        <f aca="false">-(4_WC!Q27+4_WC!Q33-4_WC!P27-4_WC!P33)</f>
        <v>-0</v>
      </c>
      <c r="R9" s="90" t="n">
        <f aca="false">-(4_WC!R27+4_WC!R33-4_WC!Q27-4_WC!Q33)</f>
        <v>-0</v>
      </c>
      <c r="S9" s="90" t="n">
        <f aca="false">-(4_WC!S27+4_WC!S33-4_WC!R27-4_WC!R33)</f>
        <v>-0</v>
      </c>
    </row>
    <row r="10" customFormat="false" ht="15" hidden="false" customHeight="true" outlineLevel="0" collapsed="false">
      <c r="A10" s="1" t="s">
        <v>682</v>
      </c>
      <c r="B10" s="81" t="n">
        <v>0</v>
      </c>
      <c r="C10" s="82" t="n">
        <f aca="false">IF(PRAIRIES_TREATMENT="AMORTIZE",IF(1&gt;=PRAIRIES_START_MONTH,0,COST_WED),COST_WED)-3_IS!C16</f>
        <v>4669</v>
      </c>
      <c r="D10" s="82" t="n">
        <f aca="false">IF(PRAIRIES_TREATMENT="AMORTIZE",IF(2&gt;=PRAIRIES_START_MONTH,0,COST_WED),COST_WED)-3_IS!D16</f>
        <v>4669</v>
      </c>
      <c r="E10" s="82" t="n">
        <f aca="false">IF(PRAIRIES_TREATMENT="AMORTIZE",IF(3&gt;=PRAIRIES_START_MONTH,0,COST_WED),COST_WED)-3_IS!E16</f>
        <v>4669</v>
      </c>
      <c r="F10" s="82" t="n">
        <f aca="false">IF(PRAIRIES_TREATMENT="AMORTIZE",IF(4&gt;=PRAIRIES_START_MONTH,0,COST_WED),COST_WED)-3_IS!F16</f>
        <v>4669</v>
      </c>
      <c r="G10" s="82" t="n">
        <f aca="false">IF(PRAIRIES_TREATMENT="AMORTIZE",IF(5&gt;=PRAIRIES_START_MONTH,0,COST_WED),COST_WED)-3_IS!G16</f>
        <v>4669</v>
      </c>
      <c r="H10" s="82" t="n">
        <f aca="false">IF(PRAIRIES_TREATMENT="AMORTIZE",IF(6&gt;=PRAIRIES_START_MONTH,0,COST_WED),COST_WED)-3_IS!H16</f>
        <v>4669</v>
      </c>
      <c r="I10" s="82" t="n">
        <f aca="false">IF(PRAIRIES_TREATMENT="AMORTIZE",IF(7&gt;=PRAIRIES_START_MONTH,0,COST_WED),COST_WED)-3_IS!I16</f>
        <v>4669</v>
      </c>
      <c r="J10" s="82" t="n">
        <f aca="false">IF(PRAIRIES_TREATMENT="AMORTIZE",IF(8&gt;=PRAIRIES_START_MONTH,0,COST_WED),COST_WED)-3_IS!J16</f>
        <v>4669</v>
      </c>
      <c r="K10" s="82" t="n">
        <f aca="false">IF(PRAIRIES_TREATMENT="AMORTIZE",IF(9&gt;=PRAIRIES_START_MONTH,0,COST_WED),COST_WED)-3_IS!K16</f>
        <v>4669</v>
      </c>
      <c r="L10" s="82" t="n">
        <f aca="false">IF(PRAIRIES_TREATMENT="AMORTIZE",IF(10&gt;=PRAIRIES_START_MONTH,0,COST_WED),COST_WED)-3_IS!L16</f>
        <v>4669</v>
      </c>
      <c r="M10" s="82" t="n">
        <f aca="false">IF(PRAIRIES_TREATMENT="AMORTIZE",IF(11&gt;=PRAIRIES_START_MONTH,0,COST_WED),COST_WED)-3_IS!M16</f>
        <v>4669</v>
      </c>
      <c r="N10" s="82" t="n">
        <f aca="false">IF(PRAIRIES_TREATMENT="AMORTIZE",IF(12&gt;=PRAIRIES_START_MONTH,0,COST_WED),COST_WED)-3_IS!N16</f>
        <v>0</v>
      </c>
      <c r="O10" s="82" t="n">
        <f aca="false">IF(PRAIRIES_TREATMENT="AMORTIZE",IF(13&gt;=PRAIRIES_START_MONTH,0,COST_WED),COST_WED)-3_IS!O16</f>
        <v>0</v>
      </c>
      <c r="P10" s="82" t="n">
        <f aca="false">IF(PRAIRIES_TREATMENT="AMORTIZE",IF(14&gt;=PRAIRIES_START_MONTH,0,COST_WED),COST_WED)-3_IS!P16</f>
        <v>0</v>
      </c>
      <c r="Q10" s="82" t="n">
        <f aca="false">IF(PRAIRIES_TREATMENT="AMORTIZE",IF(15&gt;=PRAIRIES_START_MONTH,0,COST_WED),COST_WED)-3_IS!Q16</f>
        <v>0</v>
      </c>
      <c r="R10" s="82" t="n">
        <f aca="false">IF(PRAIRIES_TREATMENT="AMORTIZE",IF(16&gt;=PRAIRIES_START_MONTH,0,COST_WED),COST_WED)-3_IS!R16</f>
        <v>0</v>
      </c>
      <c r="S10" s="82" t="n">
        <f aca="false">IF(PRAIRIES_TREATMENT="AMORTIZE",IF(17&gt;=PRAIRIES_START_MONTH,0,COST_WED),COST_WED)-3_IS!S16</f>
        <v>0</v>
      </c>
    </row>
    <row r="11" customFormat="false" ht="15" hidden="false" customHeight="true" outlineLevel="0" collapsed="false">
      <c r="A11" s="76" t="s">
        <v>683</v>
      </c>
      <c r="B11" s="81" t="n">
        <v>0</v>
      </c>
      <c r="C11" s="83" t="n">
        <f aca="false">SUM(C5:C10)</f>
        <v>-38312.2810833333</v>
      </c>
      <c r="D11" s="83" t="n">
        <f aca="false">SUM(D5:D10)</f>
        <v>-8308.78238785764</v>
      </c>
      <c r="E11" s="83" t="n">
        <f aca="false">SUM(E5:E10)</f>
        <v>-128264.901266351</v>
      </c>
      <c r="F11" s="83" t="n">
        <f aca="false">SUM(F5:F10)</f>
        <v>446424.365643349</v>
      </c>
      <c r="G11" s="83" t="n">
        <f aca="false">SUM(G5:G10)</f>
        <v>-190575.978267036</v>
      </c>
      <c r="H11" s="83" t="n">
        <f aca="false">SUM(H5:H10)</f>
        <v>-8130.92957596747</v>
      </c>
      <c r="I11" s="83" t="n">
        <f aca="false">SUM(I5:I10)</f>
        <v>-8085.48483182285</v>
      </c>
      <c r="J11" s="83" t="n">
        <f aca="false">SUM(J5:J10)</f>
        <v>-281639.640552636</v>
      </c>
      <c r="K11" s="83" t="n">
        <f aca="false">SUM(K5:K10)</f>
        <v>394138.756774172</v>
      </c>
      <c r="L11" s="83" t="n">
        <f aca="false">SUM(L5:L10)</f>
        <v>454095.260692062</v>
      </c>
      <c r="M11" s="83" t="n">
        <f aca="false">SUM(M5:M10)</f>
        <v>25676.1747756461</v>
      </c>
      <c r="N11" s="83" t="n">
        <f aca="false">SUM(N5:N10)</f>
        <v>-10147.7373690347</v>
      </c>
      <c r="O11" s="83" t="n">
        <f aca="false">SUM(O5:O10)</f>
        <v>-10068.5990375708</v>
      </c>
      <c r="P11" s="83" t="n">
        <f aca="false">SUM(P5:P10)</f>
        <v>-9988.83133979277</v>
      </c>
      <c r="Q11" s="83" t="n">
        <f aca="false">SUM(Q5:Q10)</f>
        <v>-9908.42918513189</v>
      </c>
      <c r="R11" s="83" t="n">
        <f aca="false">SUM(R5:R10)</f>
        <v>-9827.38744121558</v>
      </c>
      <c r="S11" s="83" t="n">
        <f aca="false">SUM(S5:S10)</f>
        <v>-9745.70093351954</v>
      </c>
    </row>
    <row r="13" customFormat="false" ht="15" hidden="false" customHeight="true" outlineLevel="0" collapsed="false">
      <c r="A13" s="48" t="s">
        <v>684</v>
      </c>
    </row>
    <row r="14" customFormat="false" ht="15" hidden="false" customHeight="true" outlineLevel="0" collapsed="false">
      <c r="A14" s="1" t="s">
        <v>685</v>
      </c>
      <c r="B14" s="81" t="n">
        <v>0</v>
      </c>
      <c r="C14" s="82" t="n">
        <v>0</v>
      </c>
      <c r="D14" s="82" t="n">
        <v>0</v>
      </c>
      <c r="E14" s="82" t="n">
        <v>0</v>
      </c>
      <c r="F14" s="82" t="n">
        <v>0</v>
      </c>
      <c r="G14" s="82" t="n">
        <v>0</v>
      </c>
      <c r="H14" s="82" t="n">
        <v>0</v>
      </c>
      <c r="I14" s="82" t="n">
        <v>0</v>
      </c>
      <c r="J14" s="82" t="n">
        <v>0</v>
      </c>
      <c r="K14" s="82" t="n">
        <v>0</v>
      </c>
      <c r="L14" s="82" t="n">
        <v>0</v>
      </c>
      <c r="M14" s="82" t="n">
        <v>0</v>
      </c>
      <c r="N14" s="82" t="n">
        <v>0</v>
      </c>
      <c r="O14" s="82" t="n">
        <v>0</v>
      </c>
      <c r="P14" s="82" t="n">
        <v>0</v>
      </c>
      <c r="Q14" s="82" t="n">
        <v>0</v>
      </c>
      <c r="R14" s="82" t="n">
        <v>0</v>
      </c>
      <c r="S14" s="82" t="n">
        <v>0</v>
      </c>
    </row>
    <row r="15" customFormat="false" ht="15" hidden="false" customHeight="true" outlineLevel="0" collapsed="false">
      <c r="A15" s="1" t="s">
        <v>686</v>
      </c>
      <c r="B15" s="81" t="n">
        <v>0</v>
      </c>
      <c r="C15" s="82" t="n">
        <f aca="false">C14</f>
        <v>0</v>
      </c>
      <c r="D15" s="82" t="n">
        <f aca="false">D14</f>
        <v>0</v>
      </c>
      <c r="E15" s="82" t="n">
        <f aca="false">E14</f>
        <v>0</v>
      </c>
      <c r="F15" s="82" t="n">
        <f aca="false">F14</f>
        <v>0</v>
      </c>
      <c r="G15" s="82" t="n">
        <f aca="false">G14</f>
        <v>0</v>
      </c>
      <c r="H15" s="82" t="n">
        <f aca="false">H14</f>
        <v>0</v>
      </c>
      <c r="I15" s="82" t="n">
        <f aca="false">I14</f>
        <v>0</v>
      </c>
      <c r="J15" s="82" t="n">
        <f aca="false">J14</f>
        <v>0</v>
      </c>
      <c r="K15" s="82" t="n">
        <f aca="false">K14</f>
        <v>0</v>
      </c>
      <c r="L15" s="82" t="n">
        <f aca="false">L14</f>
        <v>0</v>
      </c>
      <c r="M15" s="82" t="n">
        <f aca="false">M14</f>
        <v>0</v>
      </c>
      <c r="N15" s="82" t="n">
        <f aca="false">N14</f>
        <v>0</v>
      </c>
      <c r="O15" s="82" t="n">
        <f aca="false">O14</f>
        <v>0</v>
      </c>
      <c r="P15" s="82" t="n">
        <f aca="false">P14</f>
        <v>0</v>
      </c>
      <c r="Q15" s="82" t="n">
        <f aca="false">Q14</f>
        <v>0</v>
      </c>
      <c r="R15" s="82" t="n">
        <f aca="false">R14</f>
        <v>0</v>
      </c>
      <c r="S15" s="82" t="n">
        <f aca="false">S14</f>
        <v>0</v>
      </c>
    </row>
    <row r="17" customFormat="false" ht="15" hidden="false" customHeight="true" outlineLevel="0" collapsed="false">
      <c r="A17" s="48" t="s">
        <v>687</v>
      </c>
    </row>
    <row r="18" customFormat="false" ht="15" hidden="false" customHeight="true" outlineLevel="0" collapsed="false">
      <c r="A18" s="1" t="s">
        <v>688</v>
      </c>
      <c r="B18" s="81" t="n">
        <v>0</v>
      </c>
      <c r="C18" s="82" t="n">
        <f aca="false">IF(1=CAP_T1_MO,CAP_T1,0)+IF(1=CAP_T2_MO,CAP_T2,0)</f>
        <v>0</v>
      </c>
      <c r="D18" s="82" t="n">
        <f aca="false">IF(2=CAP_T1_MO,CAP_T1,0)+IF(2=CAP_T2_MO,CAP_T2,0)</f>
        <v>250000</v>
      </c>
      <c r="E18" s="82" t="n">
        <f aca="false">IF(3=CAP_T1_MO,CAP_T1,0)+IF(3=CAP_T2_MO,CAP_T2,0)</f>
        <v>0</v>
      </c>
      <c r="F18" s="82" t="n">
        <f aca="false">IF(4=CAP_T1_MO,CAP_T1,0)+IF(4=CAP_T2_MO,CAP_T2,0)</f>
        <v>0</v>
      </c>
      <c r="G18" s="82" t="n">
        <f aca="false">IF(5=CAP_T1_MO,CAP_T1,0)+IF(5=CAP_T2_MO,CAP_T2,0)</f>
        <v>500000</v>
      </c>
      <c r="H18" s="82" t="n">
        <f aca="false">IF(6=CAP_T1_MO,CAP_T1,0)+IF(6=CAP_T2_MO,CAP_T2,0)</f>
        <v>0</v>
      </c>
      <c r="I18" s="82" t="n">
        <f aca="false">IF(7=CAP_T1_MO,CAP_T1,0)+IF(7=CAP_T2_MO,CAP_T2,0)</f>
        <v>0</v>
      </c>
      <c r="J18" s="82" t="n">
        <f aca="false">IF(8=CAP_T1_MO,CAP_T1,0)+IF(8=CAP_T2_MO,CAP_T2,0)</f>
        <v>0</v>
      </c>
      <c r="K18" s="82" t="n">
        <f aca="false">IF(9=CAP_T1_MO,CAP_T1,0)+IF(9=CAP_T2_MO,CAP_T2,0)</f>
        <v>0</v>
      </c>
      <c r="L18" s="82" t="n">
        <f aca="false">IF(10=CAP_T1_MO,CAP_T1,0)+IF(10=CAP_T2_MO,CAP_T2,0)</f>
        <v>0</v>
      </c>
      <c r="M18" s="82" t="n">
        <f aca="false">IF(11=CAP_T1_MO,CAP_T1,0)+IF(11=CAP_T2_MO,CAP_T2,0)</f>
        <v>0</v>
      </c>
      <c r="N18" s="82" t="n">
        <f aca="false">IF(12=CAP_T1_MO,CAP_T1,0)+IF(12=CAP_T2_MO,CAP_T2,0)</f>
        <v>0</v>
      </c>
      <c r="O18" s="82" t="n">
        <f aca="false">IF(13=CAP_T1_MO,CAP_T1,0)+IF(13=CAP_T2_MO,CAP_T2,0)</f>
        <v>0</v>
      </c>
      <c r="P18" s="82" t="n">
        <f aca="false">IF(14=CAP_T1_MO,CAP_T1,0)+IF(14=CAP_T2_MO,CAP_T2,0)</f>
        <v>0</v>
      </c>
      <c r="Q18" s="82" t="n">
        <f aca="false">IF(15=CAP_T1_MO,CAP_T1,0)+IF(15=CAP_T2_MO,CAP_T2,0)</f>
        <v>0</v>
      </c>
      <c r="R18" s="82" t="n">
        <f aca="false">IF(16=CAP_T1_MO,CAP_T1,0)+IF(16=CAP_T2_MO,CAP_T2,0)</f>
        <v>0</v>
      </c>
      <c r="S18" s="82" t="n">
        <f aca="false">IF(17=CAP_T1_MO,CAP_T1,0)+IF(17=CAP_T2_MO,CAP_T2,0)</f>
        <v>0</v>
      </c>
    </row>
    <row r="19" customFormat="false" ht="15" hidden="false" customHeight="true" outlineLevel="0" collapsed="false">
      <c r="A19" s="1" t="s">
        <v>689</v>
      </c>
      <c r="B19" s="81" t="n">
        <v>0</v>
      </c>
      <c r="C19" s="91" t="n">
        <f aca="false">-(7_Debt!C6+7_Debt!C13+7_Debt!C18)</f>
        <v>-4947.71891666667</v>
      </c>
      <c r="D19" s="91" t="n">
        <f aca="false">-(7_Debt!D6+7_Debt!D13+7_Debt!D18)</f>
        <v>-4991.21761214236</v>
      </c>
      <c r="E19" s="91" t="n">
        <f aca="false">-(7_Debt!E6+7_Debt!E13+7_Debt!E18)</f>
        <v>-5035.09873364911</v>
      </c>
      <c r="F19" s="91" t="n">
        <f aca="false">-(7_Debt!F6+7_Debt!F13+7_Debt!F18)</f>
        <v>-5079.36564334911</v>
      </c>
      <c r="G19" s="91" t="n">
        <f aca="false">-(7_Debt!G6+7_Debt!G13+7_Debt!G18)</f>
        <v>-5124.02173296356</v>
      </c>
      <c r="H19" s="91" t="n">
        <f aca="false">-(7_Debt!H6+7_Debt!H13+7_Debt!H18)</f>
        <v>-5169.07042403253</v>
      </c>
      <c r="I19" s="91" t="n">
        <f aca="false">-(7_Debt!I6+7_Debt!I13+7_Debt!I18)</f>
        <v>-5214.51516817715</v>
      </c>
      <c r="J19" s="91" t="n">
        <f aca="false">-(7_Debt!J6+7_Debt!J13+7_Debt!J18)</f>
        <v>-5260.35944736404</v>
      </c>
      <c r="K19" s="91" t="n">
        <f aca="false">-(7_Debt!K6+7_Debt!K13+7_Debt!K18)</f>
        <v>-5306.60677417211</v>
      </c>
      <c r="L19" s="91" t="n">
        <f aca="false">-(7_Debt!L6+7_Debt!L13+7_Debt!L18)</f>
        <v>-5353.26069206171</v>
      </c>
      <c r="M19" s="91" t="n">
        <f aca="false">-(7_Debt!M6+7_Debt!M13+7_Debt!M18)</f>
        <v>-62100.3247756461</v>
      </c>
      <c r="N19" s="91" t="n">
        <f aca="false">-(7_Debt!N6+7_Debt!N13+7_Debt!N18)</f>
        <v>-10134.2626309653</v>
      </c>
      <c r="O19" s="91" t="n">
        <f aca="false">-(7_Debt!O6+7_Debt!O13+7_Debt!O18)</f>
        <v>-10213.4009624292</v>
      </c>
      <c r="P19" s="91" t="n">
        <f aca="false">-(7_Debt!P6+7_Debt!P13+7_Debt!P18)</f>
        <v>-10293.1686602072</v>
      </c>
      <c r="Q19" s="91" t="n">
        <f aca="false">-(7_Debt!Q6+7_Debt!Q13+7_Debt!Q18)</f>
        <v>-10373.5708148681</v>
      </c>
      <c r="R19" s="91" t="n">
        <f aca="false">-(7_Debt!R6+7_Debt!R13+7_Debt!R18)</f>
        <v>-10454.6125587844</v>
      </c>
      <c r="S19" s="91" t="n">
        <f aca="false">-(7_Debt!S6+7_Debt!S13+7_Debt!S18)</f>
        <v>-10536.2990664805</v>
      </c>
    </row>
    <row r="20" customFormat="false" ht="15" hidden="false" customHeight="true" outlineLevel="0" collapsed="false">
      <c r="A20" s="76" t="s">
        <v>690</v>
      </c>
      <c r="B20" s="81" t="n">
        <v>0</v>
      </c>
      <c r="C20" s="82" t="n">
        <f aca="false">C18+C19</f>
        <v>-4947.71891666667</v>
      </c>
      <c r="D20" s="82" t="n">
        <f aca="false">D18+D19</f>
        <v>245008.782387858</v>
      </c>
      <c r="E20" s="82" t="n">
        <f aca="false">E18+E19</f>
        <v>-5035.09873364911</v>
      </c>
      <c r="F20" s="82" t="n">
        <f aca="false">F18+F19</f>
        <v>-5079.36564334911</v>
      </c>
      <c r="G20" s="82" t="n">
        <f aca="false">G18+G19</f>
        <v>494875.978267036</v>
      </c>
      <c r="H20" s="82" t="n">
        <f aca="false">H18+H19</f>
        <v>-5169.07042403253</v>
      </c>
      <c r="I20" s="82" t="n">
        <f aca="false">I18+I19</f>
        <v>-5214.51516817715</v>
      </c>
      <c r="J20" s="82" t="n">
        <f aca="false">J18+J19</f>
        <v>-5260.35944736404</v>
      </c>
      <c r="K20" s="82" t="n">
        <f aca="false">K18+K19</f>
        <v>-5306.60677417211</v>
      </c>
      <c r="L20" s="82" t="n">
        <f aca="false">L18+L19</f>
        <v>-5353.26069206171</v>
      </c>
      <c r="M20" s="82" t="n">
        <f aca="false">M18+M19</f>
        <v>-62100.3247756461</v>
      </c>
      <c r="N20" s="82" t="n">
        <f aca="false">N18+N19</f>
        <v>-10134.2626309653</v>
      </c>
      <c r="O20" s="82" t="n">
        <f aca="false">O18+O19</f>
        <v>-10213.4009624292</v>
      </c>
      <c r="P20" s="82" t="n">
        <f aca="false">P18+P19</f>
        <v>-10293.1686602072</v>
      </c>
      <c r="Q20" s="82" t="n">
        <f aca="false">Q18+Q19</f>
        <v>-10373.5708148681</v>
      </c>
      <c r="R20" s="82" t="n">
        <f aca="false">R18+R19</f>
        <v>-10454.6125587844</v>
      </c>
      <c r="S20" s="82" t="n">
        <f aca="false">S18+S19</f>
        <v>-10536.2990664805</v>
      </c>
    </row>
    <row r="22" customFormat="false" ht="15" hidden="false" customHeight="true" outlineLevel="0" collapsed="false">
      <c r="A22" s="76" t="s">
        <v>691</v>
      </c>
      <c r="B22" s="81" t="n">
        <v>0</v>
      </c>
      <c r="C22" s="83" t="n">
        <f aca="false">C11+C15+C20</f>
        <v>-43260</v>
      </c>
      <c r="D22" s="83" t="n">
        <f aca="false">D11+D15+D20</f>
        <v>236700</v>
      </c>
      <c r="E22" s="83" t="n">
        <f aca="false">E11+E15+E20</f>
        <v>-133300</v>
      </c>
      <c r="F22" s="83" t="n">
        <f aca="false">F11+F15+F20</f>
        <v>441345</v>
      </c>
      <c r="G22" s="83" t="n">
        <f aca="false">G11+G15+G20</f>
        <v>304300</v>
      </c>
      <c r="H22" s="83" t="n">
        <f aca="false">H11+H15+H20</f>
        <v>-13300</v>
      </c>
      <c r="I22" s="83" t="n">
        <f aca="false">I11+I15+I20</f>
        <v>-13300</v>
      </c>
      <c r="J22" s="83" t="n">
        <f aca="false">J11+J15+J20</f>
        <v>-286900</v>
      </c>
      <c r="K22" s="83" t="n">
        <f aca="false">K11+K15+K20</f>
        <v>388832.15</v>
      </c>
      <c r="L22" s="83" t="n">
        <f aca="false">L11+L15+L20</f>
        <v>448742</v>
      </c>
      <c r="M22" s="83" t="n">
        <f aca="false">M11+M15+M20</f>
        <v>-36424.15</v>
      </c>
      <c r="N22" s="83" t="n">
        <f aca="false">N11+N15+N20</f>
        <v>-20282</v>
      </c>
      <c r="O22" s="83" t="n">
        <f aca="false">O11+O15+O20</f>
        <v>-20282</v>
      </c>
      <c r="P22" s="83" t="n">
        <f aca="false">P11+P15+P20</f>
        <v>-20282</v>
      </c>
      <c r="Q22" s="83" t="n">
        <f aca="false">Q11+Q15+Q20</f>
        <v>-20282</v>
      </c>
      <c r="R22" s="83" t="n">
        <f aca="false">R11+R15+R20</f>
        <v>-20282</v>
      </c>
      <c r="S22" s="83" t="n">
        <f aca="false">S11+S15+S20</f>
        <v>-20282</v>
      </c>
    </row>
    <row r="23" customFormat="false" ht="15" hidden="false" customHeight="true" outlineLevel="0" collapsed="false">
      <c r="A23" s="1" t="s">
        <v>692</v>
      </c>
      <c r="B23" s="81" t="n">
        <f aca="false">OB_CASH</f>
        <v>-7543</v>
      </c>
      <c r="C23" s="82" t="n">
        <f aca="false">B24</f>
        <v>-7543</v>
      </c>
      <c r="D23" s="82" t="n">
        <f aca="false">C24</f>
        <v>-50803</v>
      </c>
      <c r="E23" s="82" t="n">
        <f aca="false">D24</f>
        <v>185897</v>
      </c>
      <c r="F23" s="82" t="n">
        <f aca="false">E24</f>
        <v>52597</v>
      </c>
      <c r="G23" s="82" t="n">
        <f aca="false">F24</f>
        <v>493942</v>
      </c>
      <c r="H23" s="82" t="n">
        <f aca="false">G24</f>
        <v>798242</v>
      </c>
      <c r="I23" s="82" t="n">
        <f aca="false">H24</f>
        <v>784942</v>
      </c>
      <c r="J23" s="82" t="n">
        <f aca="false">I24</f>
        <v>771642</v>
      </c>
      <c r="K23" s="82" t="n">
        <f aca="false">J24</f>
        <v>484742</v>
      </c>
      <c r="L23" s="82" t="n">
        <f aca="false">K24</f>
        <v>873574.15</v>
      </c>
      <c r="M23" s="82" t="n">
        <f aca="false">L24</f>
        <v>1322316.15</v>
      </c>
      <c r="N23" s="82" t="n">
        <f aca="false">M24</f>
        <v>1285892</v>
      </c>
      <c r="O23" s="82" t="n">
        <f aca="false">N24</f>
        <v>1265610</v>
      </c>
      <c r="P23" s="82" t="n">
        <f aca="false">O24</f>
        <v>1245328</v>
      </c>
      <c r="Q23" s="82" t="n">
        <f aca="false">P24</f>
        <v>1225046</v>
      </c>
      <c r="R23" s="82" t="n">
        <f aca="false">Q24</f>
        <v>1204764</v>
      </c>
      <c r="S23" s="82" t="n">
        <f aca="false">R24</f>
        <v>1184482</v>
      </c>
    </row>
    <row r="24" customFormat="false" ht="15" hidden="false" customHeight="true" outlineLevel="0" collapsed="false">
      <c r="A24" s="76" t="s">
        <v>693</v>
      </c>
      <c r="B24" s="81" t="n">
        <f aca="false">OB_CASH</f>
        <v>-7543</v>
      </c>
      <c r="C24" s="83" t="n">
        <f aca="false">C23+C22</f>
        <v>-50803</v>
      </c>
      <c r="D24" s="83" t="n">
        <f aca="false">D23+D22</f>
        <v>185897</v>
      </c>
      <c r="E24" s="83" t="n">
        <f aca="false">E23+E22</f>
        <v>52597</v>
      </c>
      <c r="F24" s="83" t="n">
        <f aca="false">F23+F22</f>
        <v>493942</v>
      </c>
      <c r="G24" s="83" t="n">
        <f aca="false">G23+G22</f>
        <v>798242</v>
      </c>
      <c r="H24" s="83" t="n">
        <f aca="false">H23+H22</f>
        <v>784942</v>
      </c>
      <c r="I24" s="83" t="n">
        <f aca="false">I23+I22</f>
        <v>771642</v>
      </c>
      <c r="J24" s="83" t="n">
        <f aca="false">J23+J22</f>
        <v>484742</v>
      </c>
      <c r="K24" s="83" t="n">
        <f aca="false">K23+K22</f>
        <v>873574.15</v>
      </c>
      <c r="L24" s="83" t="n">
        <f aca="false">L23+L22</f>
        <v>1322316.15</v>
      </c>
      <c r="M24" s="83" t="n">
        <f aca="false">M23+M22</f>
        <v>1285892</v>
      </c>
      <c r="N24" s="83" t="n">
        <f aca="false">N23+N22</f>
        <v>1265610</v>
      </c>
      <c r="O24" s="83" t="n">
        <f aca="false">O23+O22</f>
        <v>1245328</v>
      </c>
      <c r="P24" s="83" t="n">
        <f aca="false">P23+P22</f>
        <v>1225046</v>
      </c>
      <c r="Q24" s="83" t="n">
        <f aca="false">Q23+Q22</f>
        <v>1204764</v>
      </c>
      <c r="R24" s="83" t="n">
        <f aca="false">R23+R22</f>
        <v>1184482</v>
      </c>
      <c r="S24" s="83" t="n">
        <f aca="false">S23+S22</f>
        <v>1164200</v>
      </c>
    </row>
    <row r="26" customFormat="false" ht="15" hidden="false" customHeight="true" outlineLevel="0" collapsed="false">
      <c r="A26" s="85" t="s">
        <v>623</v>
      </c>
    </row>
    <row r="27" customFormat="false" ht="15" hidden="false" customHeight="true" outlineLevel="0" collapsed="false">
      <c r="A27" s="86" t="s">
        <v>694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</row>
    <row r="28" customFormat="false" ht="15" hidden="false" customHeight="true" outlineLevel="0" collapsed="false">
      <c r="A28" s="88" t="s">
        <v>695</v>
      </c>
      <c r="B28" s="89" t="str">
        <f aca="false">IF(B27="","",B27-B24)</f>
        <v/>
      </c>
      <c r="C28" s="89" t="str">
        <f aca="false">IF(C27="","",C27-C24)</f>
        <v/>
      </c>
      <c r="D28" s="89" t="str">
        <f aca="false">IF(D27="","",D27-D24)</f>
        <v/>
      </c>
      <c r="E28" s="89" t="str">
        <f aca="false">IF(E27="","",E27-E24)</f>
        <v/>
      </c>
      <c r="F28" s="89" t="str">
        <f aca="false">IF(F27="","",F27-F24)</f>
        <v/>
      </c>
      <c r="G28" s="89" t="str">
        <f aca="false">IF(G27="","",G27-G24)</f>
        <v/>
      </c>
      <c r="H28" s="89" t="str">
        <f aca="false">IF(H27="","",H27-H24)</f>
        <v/>
      </c>
      <c r="I28" s="89" t="str">
        <f aca="false">IF(I27="","",I27-I24)</f>
        <v/>
      </c>
      <c r="J28" s="89" t="str">
        <f aca="false">IF(J27="","",J27-J24)</f>
        <v/>
      </c>
      <c r="K28" s="89" t="str">
        <f aca="false">IF(K27="","",K27-K24)</f>
        <v/>
      </c>
      <c r="L28" s="89" t="str">
        <f aca="false">IF(L27="","",L27-L24)</f>
        <v/>
      </c>
      <c r="M28" s="89" t="str">
        <f aca="false">IF(M27="","",M27-M24)</f>
        <v/>
      </c>
      <c r="N28" s="89" t="str">
        <f aca="false">IF(N27="","",N27-N24)</f>
        <v/>
      </c>
      <c r="O28" s="89" t="str">
        <f aca="false">IF(O27="","",O27-O24)</f>
        <v/>
      </c>
      <c r="P28" s="89" t="str">
        <f aca="false">IF(P27="","",P27-P24)</f>
        <v/>
      </c>
      <c r="Q28" s="89" t="str">
        <f aca="false">IF(Q27="","",Q27-Q24)</f>
        <v/>
      </c>
      <c r="R28" s="89" t="str">
        <f aca="false">IF(R27="","",R27-R24)</f>
        <v/>
      </c>
      <c r="S28" s="89" t="str">
        <f aca="false">IF(S27="","",S27-S24)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9" min="2" style="1" width="14"/>
  </cols>
  <sheetData>
    <row r="1" customFormat="false" ht="15" hidden="false" customHeight="true" outlineLevel="0" collapsed="false">
      <c r="A1" s="75" t="s">
        <v>696</v>
      </c>
    </row>
    <row r="2" customFormat="false" ht="15" hidden="false" customHeight="true" outlineLevel="0" collapsed="false">
      <c r="A2" s="76" t="s">
        <v>592</v>
      </c>
      <c r="B2" s="77" t="s">
        <v>328</v>
      </c>
      <c r="C2" s="77" t="s">
        <v>329</v>
      </c>
      <c r="D2" s="77" t="s">
        <v>330</v>
      </c>
      <c r="E2" s="77" t="s">
        <v>331</v>
      </c>
      <c r="F2" s="77" t="s">
        <v>332</v>
      </c>
      <c r="G2" s="77" t="s">
        <v>333</v>
      </c>
      <c r="H2" s="77" t="s">
        <v>334</v>
      </c>
      <c r="I2" s="77" t="s">
        <v>335</v>
      </c>
      <c r="J2" s="77" t="s">
        <v>336</v>
      </c>
      <c r="K2" s="77" t="s">
        <v>337</v>
      </c>
      <c r="L2" s="77" t="s">
        <v>338</v>
      </c>
      <c r="M2" s="77" t="s">
        <v>339</v>
      </c>
      <c r="N2" s="77" t="s">
        <v>340</v>
      </c>
      <c r="O2" s="77" t="s">
        <v>341</v>
      </c>
      <c r="P2" s="77" t="s">
        <v>342</v>
      </c>
      <c r="Q2" s="77" t="s">
        <v>343</v>
      </c>
      <c r="R2" s="77" t="s">
        <v>344</v>
      </c>
      <c r="S2" s="77" t="s">
        <v>345</v>
      </c>
    </row>
    <row r="4" customFormat="false" ht="15" hidden="false" customHeight="true" outlineLevel="0" collapsed="false">
      <c r="A4" s="48" t="s">
        <v>697</v>
      </c>
    </row>
    <row r="5" customFormat="false" ht="15" hidden="false" customHeight="true" outlineLevel="0" collapsed="false">
      <c r="A5" s="1" t="s">
        <v>99</v>
      </c>
      <c r="B5" s="81" t="n">
        <f aca="false">OB_CASH</f>
        <v>-7543</v>
      </c>
      <c r="C5" s="91" t="n">
        <f aca="false">5_CF!C24</f>
        <v>-50803</v>
      </c>
      <c r="D5" s="91" t="n">
        <f aca="false">5_CF!D24</f>
        <v>185897</v>
      </c>
      <c r="E5" s="91" t="n">
        <f aca="false">5_CF!E24</f>
        <v>52597</v>
      </c>
      <c r="F5" s="91" t="n">
        <f aca="false">5_CF!F24</f>
        <v>493942</v>
      </c>
      <c r="G5" s="91" t="n">
        <f aca="false">5_CF!G24</f>
        <v>798242</v>
      </c>
      <c r="H5" s="91" t="n">
        <f aca="false">5_CF!H24</f>
        <v>784942</v>
      </c>
      <c r="I5" s="91" t="n">
        <f aca="false">5_CF!I24</f>
        <v>771642</v>
      </c>
      <c r="J5" s="91" t="n">
        <f aca="false">5_CF!J24</f>
        <v>484742</v>
      </c>
      <c r="K5" s="91" t="n">
        <f aca="false">5_CF!K24</f>
        <v>873574.15</v>
      </c>
      <c r="L5" s="91" t="n">
        <f aca="false">5_CF!L24</f>
        <v>1322316.15</v>
      </c>
      <c r="M5" s="91" t="n">
        <f aca="false">5_CF!M24</f>
        <v>1285892</v>
      </c>
      <c r="N5" s="91" t="n">
        <f aca="false">5_CF!N24</f>
        <v>1265610</v>
      </c>
      <c r="O5" s="91" t="n">
        <f aca="false">5_CF!O24</f>
        <v>1245328</v>
      </c>
      <c r="P5" s="91" t="n">
        <f aca="false">5_CF!P24</f>
        <v>1225046</v>
      </c>
      <c r="Q5" s="91" t="n">
        <f aca="false">5_CF!Q24</f>
        <v>1204764</v>
      </c>
      <c r="R5" s="91" t="n">
        <f aca="false">5_CF!R24</f>
        <v>1184482</v>
      </c>
      <c r="S5" s="91" t="n">
        <f aca="false">5_CF!S24</f>
        <v>1164200</v>
      </c>
    </row>
    <row r="6" customFormat="false" ht="15" hidden="false" customHeight="true" outlineLevel="0" collapsed="false">
      <c r="A6" s="1" t="s">
        <v>102</v>
      </c>
      <c r="B6" s="81" t="n">
        <f aca="false">OB_AR</f>
        <v>369366</v>
      </c>
      <c r="C6" s="91" t="n">
        <f aca="false">4_WC!C8</f>
        <v>369366</v>
      </c>
      <c r="D6" s="91" t="n">
        <f aca="false">4_WC!D8</f>
        <v>369366</v>
      </c>
      <c r="E6" s="91" t="n">
        <f aca="false">4_WC!E8</f>
        <v>369366</v>
      </c>
      <c r="F6" s="91" t="n">
        <f aca="false">4_WC!F8</f>
        <v>0</v>
      </c>
      <c r="G6" s="91" t="n">
        <f aca="false">4_WC!G8</f>
        <v>0</v>
      </c>
      <c r="H6" s="91" t="n">
        <f aca="false">4_WC!H8</f>
        <v>0</v>
      </c>
      <c r="I6" s="91" t="n">
        <f aca="false">4_WC!I8</f>
        <v>0</v>
      </c>
      <c r="J6" s="91" t="n">
        <f aca="false">4_WC!J8</f>
        <v>0</v>
      </c>
      <c r="K6" s="91" t="n">
        <f aca="false">4_WC!K8</f>
        <v>0</v>
      </c>
      <c r="L6" s="91" t="n">
        <f aca="false">4_WC!L8</f>
        <v>0</v>
      </c>
      <c r="M6" s="91" t="n">
        <f aca="false">4_WC!M8</f>
        <v>0</v>
      </c>
      <c r="N6" s="91" t="n">
        <f aca="false">4_WC!N8</f>
        <v>0</v>
      </c>
      <c r="O6" s="91" t="n">
        <f aca="false">4_WC!O8</f>
        <v>0</v>
      </c>
      <c r="P6" s="91" t="n">
        <f aca="false">4_WC!P8</f>
        <v>0</v>
      </c>
      <c r="Q6" s="91" t="n">
        <f aca="false">4_WC!Q8</f>
        <v>0</v>
      </c>
      <c r="R6" s="91" t="n">
        <f aca="false">4_WC!R8</f>
        <v>0</v>
      </c>
      <c r="S6" s="91" t="n">
        <f aca="false">4_WC!S8</f>
        <v>0</v>
      </c>
    </row>
    <row r="7" customFormat="false" ht="15" hidden="false" customHeight="true" outlineLevel="0" collapsed="false">
      <c r="A7" s="1" t="s">
        <v>105</v>
      </c>
      <c r="B7" s="81" t="n">
        <f aca="false">OB_INV</f>
        <v>3688</v>
      </c>
      <c r="C7" s="91" t="n">
        <f aca="false">4_WC!C15</f>
        <v>3648</v>
      </c>
      <c r="D7" s="91" t="n">
        <f aca="false">4_WC!D15</f>
        <v>3648</v>
      </c>
      <c r="E7" s="91" t="n">
        <f aca="false">4_WC!E15</f>
        <v>3648</v>
      </c>
      <c r="F7" s="91" t="n">
        <f aca="false">4_WC!F15</f>
        <v>0</v>
      </c>
      <c r="G7" s="91" t="n">
        <f aca="false">4_WC!G15</f>
        <v>0</v>
      </c>
      <c r="H7" s="91" t="n">
        <f aca="false">4_WC!H15</f>
        <v>0</v>
      </c>
      <c r="I7" s="91" t="n">
        <f aca="false">4_WC!I15</f>
        <v>0</v>
      </c>
      <c r="J7" s="91" t="n">
        <f aca="false">4_WC!J15</f>
        <v>0</v>
      </c>
      <c r="K7" s="91" t="n">
        <f aca="false">4_WC!K15</f>
        <v>251742.4</v>
      </c>
      <c r="L7" s="91" t="n">
        <f aca="false">4_WC!L15</f>
        <v>17054.4</v>
      </c>
      <c r="M7" s="91" t="n">
        <f aca="false">4_WC!M15</f>
        <v>0</v>
      </c>
      <c r="N7" s="91" t="n">
        <f aca="false">4_WC!N15</f>
        <v>0</v>
      </c>
      <c r="O7" s="91" t="n">
        <f aca="false">4_WC!O15</f>
        <v>0</v>
      </c>
      <c r="P7" s="91" t="n">
        <f aca="false">4_WC!P15</f>
        <v>0</v>
      </c>
      <c r="Q7" s="91" t="n">
        <f aca="false">4_WC!Q15</f>
        <v>0</v>
      </c>
      <c r="R7" s="91" t="n">
        <f aca="false">4_WC!R15</f>
        <v>0</v>
      </c>
      <c r="S7" s="91" t="n">
        <f aca="false">4_WC!S15</f>
        <v>0</v>
      </c>
    </row>
    <row r="8" customFormat="false" ht="15" hidden="false" customHeight="true" outlineLevel="0" collapsed="false">
      <c r="A8" s="1" t="s">
        <v>698</v>
      </c>
      <c r="B8" s="81" t="n">
        <f aca="false">OB_PREPAID</f>
        <v>80832</v>
      </c>
      <c r="C8" s="90" t="n">
        <f aca="false">4_WC!C27+4_WC!C33</f>
        <v>110832</v>
      </c>
      <c r="D8" s="90" t="n">
        <f aca="false">4_WC!D27+4_WC!D33</f>
        <v>110832</v>
      </c>
      <c r="E8" s="90" t="n">
        <f aca="false">4_WC!E27+4_WC!E33</f>
        <v>230832</v>
      </c>
      <c r="F8" s="90" t="n">
        <f aca="false">4_WC!F27+4_WC!F33</f>
        <v>0</v>
      </c>
      <c r="G8" s="90" t="n">
        <f aca="false">4_WC!G27+4_WC!G33</f>
        <v>182400</v>
      </c>
      <c r="H8" s="90" t="n">
        <f aca="false">4_WC!H27+4_WC!H33</f>
        <v>182400</v>
      </c>
      <c r="I8" s="90" t="n">
        <f aca="false">4_WC!I27+4_WC!I33</f>
        <v>182400</v>
      </c>
      <c r="J8" s="90" t="n">
        <f aca="false">4_WC!J27+4_WC!J33</f>
        <v>456000</v>
      </c>
      <c r="K8" s="90" t="n">
        <f aca="false">4_WC!K27+4_WC!K33</f>
        <v>0</v>
      </c>
      <c r="L8" s="90" t="n">
        <f aca="false">4_WC!L27+4_WC!L33</f>
        <v>0</v>
      </c>
      <c r="M8" s="90" t="n">
        <f aca="false">4_WC!M27+4_WC!M33</f>
        <v>0</v>
      </c>
      <c r="N8" s="90" t="n">
        <f aca="false">4_WC!N27+4_WC!N33</f>
        <v>0</v>
      </c>
      <c r="O8" s="90" t="n">
        <f aca="false">4_WC!O27+4_WC!O33</f>
        <v>0</v>
      </c>
      <c r="P8" s="90" t="n">
        <f aca="false">4_WC!P27+4_WC!P33</f>
        <v>0</v>
      </c>
      <c r="Q8" s="90" t="n">
        <f aca="false">4_WC!Q27+4_WC!Q33</f>
        <v>0</v>
      </c>
      <c r="R8" s="90" t="n">
        <f aca="false">4_WC!R27+4_WC!R33</f>
        <v>0</v>
      </c>
      <c r="S8" s="90" t="n">
        <f aca="false">4_WC!S27+4_WC!S33</f>
        <v>0</v>
      </c>
    </row>
    <row r="9" customFormat="false" ht="15" hidden="false" customHeight="true" outlineLevel="0" collapsed="false">
      <c r="A9" s="1" t="s">
        <v>446</v>
      </c>
      <c r="B9" s="81" t="n">
        <f aca="false">OB_OCA</f>
        <v>30519</v>
      </c>
      <c r="C9" s="82" t="n">
        <f aca="false">B9</f>
        <v>30519</v>
      </c>
      <c r="D9" s="82" t="n">
        <f aca="false">C9</f>
        <v>30519</v>
      </c>
      <c r="E9" s="82" t="n">
        <f aca="false">D9</f>
        <v>30519</v>
      </c>
      <c r="F9" s="82" t="n">
        <f aca="false">E9</f>
        <v>30519</v>
      </c>
      <c r="G9" s="82" t="n">
        <f aca="false">F9</f>
        <v>30519</v>
      </c>
      <c r="H9" s="82" t="n">
        <f aca="false">G9</f>
        <v>30519</v>
      </c>
      <c r="I9" s="82" t="n">
        <f aca="false">H9</f>
        <v>30519</v>
      </c>
      <c r="J9" s="82" t="n">
        <f aca="false">I9</f>
        <v>30519</v>
      </c>
      <c r="K9" s="82" t="n">
        <f aca="false">J9</f>
        <v>30519</v>
      </c>
      <c r="L9" s="82" t="n">
        <f aca="false">K9</f>
        <v>30519</v>
      </c>
      <c r="M9" s="82" t="n">
        <f aca="false">L9</f>
        <v>30519</v>
      </c>
      <c r="N9" s="82" t="n">
        <f aca="false">M9</f>
        <v>30519</v>
      </c>
      <c r="O9" s="82" t="n">
        <f aca="false">N9</f>
        <v>30519</v>
      </c>
      <c r="P9" s="82" t="n">
        <f aca="false">O9</f>
        <v>30519</v>
      </c>
      <c r="Q9" s="82" t="n">
        <f aca="false">P9</f>
        <v>30519</v>
      </c>
      <c r="R9" s="82" t="n">
        <f aca="false">Q9</f>
        <v>30519</v>
      </c>
      <c r="S9" s="82" t="n">
        <f aca="false">R9</f>
        <v>30519</v>
      </c>
    </row>
    <row r="10" customFormat="false" ht="15" hidden="false" customHeight="true" outlineLevel="0" collapsed="false">
      <c r="A10" s="76" t="s">
        <v>699</v>
      </c>
      <c r="B10" s="81" t="n">
        <f aca="false">SUM(B5:B9)</f>
        <v>476862</v>
      </c>
      <c r="C10" s="82" t="n">
        <f aca="false">SUM(C5:C9)</f>
        <v>463562</v>
      </c>
      <c r="D10" s="82" t="n">
        <f aca="false">SUM(D5:D9)</f>
        <v>700262</v>
      </c>
      <c r="E10" s="82" t="n">
        <f aca="false">SUM(E5:E9)</f>
        <v>686962</v>
      </c>
      <c r="F10" s="82" t="n">
        <f aca="false">SUM(F5:F9)</f>
        <v>524461</v>
      </c>
      <c r="G10" s="82" t="n">
        <f aca="false">SUM(G5:G9)</f>
        <v>1011161</v>
      </c>
      <c r="H10" s="82" t="n">
        <f aca="false">SUM(H5:H9)</f>
        <v>997861</v>
      </c>
      <c r="I10" s="82" t="n">
        <f aca="false">SUM(I5:I9)</f>
        <v>984561</v>
      </c>
      <c r="J10" s="82" t="n">
        <f aca="false">SUM(J5:J9)</f>
        <v>971261</v>
      </c>
      <c r="K10" s="82" t="n">
        <f aca="false">SUM(K5:K9)</f>
        <v>1155835.55</v>
      </c>
      <c r="L10" s="82" t="n">
        <f aca="false">SUM(L5:L9)</f>
        <v>1369889.55</v>
      </c>
      <c r="M10" s="82" t="n">
        <f aca="false">SUM(M5:M9)</f>
        <v>1316411</v>
      </c>
      <c r="N10" s="82" t="n">
        <f aca="false">SUM(N5:N9)</f>
        <v>1296129</v>
      </c>
      <c r="O10" s="82" t="n">
        <f aca="false">SUM(O5:O9)</f>
        <v>1275847</v>
      </c>
      <c r="P10" s="82" t="n">
        <f aca="false">SUM(P5:P9)</f>
        <v>1255565</v>
      </c>
      <c r="Q10" s="82" t="n">
        <f aca="false">SUM(Q5:Q9)</f>
        <v>1235283</v>
      </c>
      <c r="R10" s="82" t="n">
        <f aca="false">SUM(R5:R9)</f>
        <v>1215001</v>
      </c>
      <c r="S10" s="82" t="n">
        <f aca="false">SUM(S5:S9)</f>
        <v>1194719</v>
      </c>
    </row>
    <row r="11" customFormat="false" ht="15" hidden="false" customHeight="true" outlineLevel="0" collapsed="false">
      <c r="A11" s="1" t="s">
        <v>448</v>
      </c>
      <c r="B11" s="81" t="n">
        <f aca="false">OB_FA</f>
        <v>3316</v>
      </c>
      <c r="C11" s="82" t="n">
        <f aca="false">B11</f>
        <v>3316</v>
      </c>
      <c r="D11" s="82" t="n">
        <f aca="false">C11</f>
        <v>3316</v>
      </c>
      <c r="E11" s="82" t="n">
        <f aca="false">D11</f>
        <v>3316</v>
      </c>
      <c r="F11" s="82" t="n">
        <f aca="false">E11</f>
        <v>3316</v>
      </c>
      <c r="G11" s="82" t="n">
        <f aca="false">F11</f>
        <v>3316</v>
      </c>
      <c r="H11" s="82" t="n">
        <f aca="false">G11</f>
        <v>3316</v>
      </c>
      <c r="I11" s="82" t="n">
        <f aca="false">H11</f>
        <v>3316</v>
      </c>
      <c r="J11" s="82" t="n">
        <f aca="false">I11</f>
        <v>3316</v>
      </c>
      <c r="K11" s="82" t="n">
        <f aca="false">J11</f>
        <v>3316</v>
      </c>
      <c r="L11" s="82" t="n">
        <f aca="false">K11</f>
        <v>3316</v>
      </c>
      <c r="M11" s="82" t="n">
        <f aca="false">L11</f>
        <v>3316</v>
      </c>
      <c r="N11" s="82" t="n">
        <f aca="false">M11</f>
        <v>3316</v>
      </c>
      <c r="O11" s="82" t="n">
        <f aca="false">N11</f>
        <v>3316</v>
      </c>
      <c r="P11" s="82" t="n">
        <f aca="false">O11</f>
        <v>3316</v>
      </c>
      <c r="Q11" s="82" t="n">
        <f aca="false">P11</f>
        <v>3316</v>
      </c>
      <c r="R11" s="82" t="n">
        <f aca="false">Q11</f>
        <v>3316</v>
      </c>
      <c r="S11" s="82" t="n">
        <f aca="false">R11</f>
        <v>3316</v>
      </c>
    </row>
    <row r="12" customFormat="false" ht="15" hidden="false" customHeight="true" outlineLevel="0" collapsed="false">
      <c r="A12" s="76" t="s">
        <v>700</v>
      </c>
      <c r="B12" s="81" t="n">
        <f aca="false">B10+B11</f>
        <v>480178</v>
      </c>
      <c r="C12" s="83" t="n">
        <f aca="false">C10+C11</f>
        <v>466878</v>
      </c>
      <c r="D12" s="83" t="n">
        <f aca="false">D10+D11</f>
        <v>703578</v>
      </c>
      <c r="E12" s="83" t="n">
        <f aca="false">E10+E11</f>
        <v>690278</v>
      </c>
      <c r="F12" s="83" t="n">
        <f aca="false">F10+F11</f>
        <v>527777</v>
      </c>
      <c r="G12" s="83" t="n">
        <f aca="false">G10+G11</f>
        <v>1014477</v>
      </c>
      <c r="H12" s="83" t="n">
        <f aca="false">H10+H11</f>
        <v>1001177</v>
      </c>
      <c r="I12" s="83" t="n">
        <f aca="false">I10+I11</f>
        <v>987877</v>
      </c>
      <c r="J12" s="83" t="n">
        <f aca="false">J10+J11</f>
        <v>974577</v>
      </c>
      <c r="K12" s="83" t="n">
        <f aca="false">K10+K11</f>
        <v>1159151.55</v>
      </c>
      <c r="L12" s="83" t="n">
        <f aca="false">L10+L11</f>
        <v>1373205.55</v>
      </c>
      <c r="M12" s="83" t="n">
        <f aca="false">M10+M11</f>
        <v>1319727</v>
      </c>
      <c r="N12" s="83" t="n">
        <f aca="false">N10+N11</f>
        <v>1299445</v>
      </c>
      <c r="O12" s="83" t="n">
        <f aca="false">O10+O11</f>
        <v>1279163</v>
      </c>
      <c r="P12" s="83" t="n">
        <f aca="false">P10+P11</f>
        <v>1258881</v>
      </c>
      <c r="Q12" s="83" t="n">
        <f aca="false">Q10+Q11</f>
        <v>1238599</v>
      </c>
      <c r="R12" s="83" t="n">
        <f aca="false">R10+R11</f>
        <v>1218317</v>
      </c>
      <c r="S12" s="83" t="n">
        <f aca="false">S10+S11</f>
        <v>1198035</v>
      </c>
    </row>
    <row r="14" customFormat="false" ht="15" hidden="false" customHeight="true" outlineLevel="0" collapsed="false">
      <c r="A14" s="48" t="s">
        <v>701</v>
      </c>
    </row>
    <row r="15" customFormat="false" ht="15" hidden="false" customHeight="true" outlineLevel="0" collapsed="false">
      <c r="A15" s="1" t="s">
        <v>450</v>
      </c>
      <c r="B15" s="81" t="n">
        <f aca="false">OB_AP</f>
        <v>15164</v>
      </c>
      <c r="C15" s="82" t="n">
        <f aca="false">B15</f>
        <v>15164</v>
      </c>
      <c r="D15" s="82" t="n">
        <f aca="false">C15</f>
        <v>15164</v>
      </c>
      <c r="E15" s="82" t="n">
        <f aca="false">D15</f>
        <v>15164</v>
      </c>
      <c r="F15" s="82" t="n">
        <f aca="false">E15</f>
        <v>15164</v>
      </c>
      <c r="G15" s="82" t="n">
        <f aca="false">F15</f>
        <v>15164</v>
      </c>
      <c r="H15" s="82" t="n">
        <f aca="false">G15</f>
        <v>15164</v>
      </c>
      <c r="I15" s="82" t="n">
        <f aca="false">H15</f>
        <v>15164</v>
      </c>
      <c r="J15" s="82" t="n">
        <f aca="false">I15</f>
        <v>15164</v>
      </c>
      <c r="K15" s="82" t="n">
        <f aca="false">J15</f>
        <v>15164</v>
      </c>
      <c r="L15" s="82" t="n">
        <f aca="false">K15</f>
        <v>15164</v>
      </c>
      <c r="M15" s="82" t="n">
        <f aca="false">L15</f>
        <v>15164</v>
      </c>
      <c r="N15" s="82" t="n">
        <f aca="false">M15</f>
        <v>15164</v>
      </c>
      <c r="O15" s="82" t="n">
        <f aca="false">N15</f>
        <v>15164</v>
      </c>
      <c r="P15" s="82" t="n">
        <f aca="false">O15</f>
        <v>15164</v>
      </c>
      <c r="Q15" s="82" t="n">
        <f aca="false">P15</f>
        <v>15164</v>
      </c>
      <c r="R15" s="82" t="n">
        <f aca="false">Q15</f>
        <v>15164</v>
      </c>
      <c r="S15" s="82" t="n">
        <f aca="false">R15</f>
        <v>15164</v>
      </c>
    </row>
    <row r="16" customFormat="false" ht="15" hidden="false" customHeight="true" outlineLevel="0" collapsed="false">
      <c r="A16" s="1" t="s">
        <v>451</v>
      </c>
      <c r="B16" s="81" t="n">
        <f aca="false">OB_CC</f>
        <v>92399</v>
      </c>
      <c r="C16" s="82" t="n">
        <f aca="false">B16</f>
        <v>92399</v>
      </c>
      <c r="D16" s="82" t="n">
        <f aca="false">C16</f>
        <v>92399</v>
      </c>
      <c r="E16" s="82" t="n">
        <f aca="false">D16</f>
        <v>92399</v>
      </c>
      <c r="F16" s="82" t="n">
        <f aca="false">E16</f>
        <v>92399</v>
      </c>
      <c r="G16" s="82" t="n">
        <f aca="false">F16</f>
        <v>92399</v>
      </c>
      <c r="H16" s="82" t="n">
        <f aca="false">G16</f>
        <v>92399</v>
      </c>
      <c r="I16" s="82" t="n">
        <f aca="false">H16</f>
        <v>92399</v>
      </c>
      <c r="J16" s="82" t="n">
        <f aca="false">I16</f>
        <v>92399</v>
      </c>
      <c r="K16" s="82" t="n">
        <f aca="false">J16</f>
        <v>92399</v>
      </c>
      <c r="L16" s="82" t="n">
        <f aca="false">K16</f>
        <v>92399</v>
      </c>
      <c r="M16" s="82" t="n">
        <f aca="false">L16</f>
        <v>92399</v>
      </c>
      <c r="N16" s="82" t="n">
        <f aca="false">M16</f>
        <v>92399</v>
      </c>
      <c r="O16" s="82" t="n">
        <f aca="false">N16</f>
        <v>92399</v>
      </c>
      <c r="P16" s="82" t="n">
        <f aca="false">O16</f>
        <v>92399</v>
      </c>
      <c r="Q16" s="82" t="n">
        <f aca="false">P16</f>
        <v>92399</v>
      </c>
      <c r="R16" s="82" t="n">
        <f aca="false">Q16</f>
        <v>92399</v>
      </c>
      <c r="S16" s="82" t="n">
        <f aca="false">R16</f>
        <v>92399</v>
      </c>
    </row>
    <row r="17" customFormat="false" ht="15" hidden="false" customHeight="true" outlineLevel="0" collapsed="false">
      <c r="A17" s="1" t="s">
        <v>702</v>
      </c>
      <c r="B17" s="81" t="n">
        <f aca="false">OB_TAX</f>
        <v>50599</v>
      </c>
      <c r="C17" s="82" t="n">
        <f aca="false">B17</f>
        <v>50599</v>
      </c>
      <c r="D17" s="82" t="n">
        <f aca="false">C17</f>
        <v>50599</v>
      </c>
      <c r="E17" s="82" t="n">
        <f aca="false">D17</f>
        <v>50599</v>
      </c>
      <c r="F17" s="82" t="n">
        <f aca="false">E17</f>
        <v>50599</v>
      </c>
      <c r="G17" s="82" t="n">
        <f aca="false">F17</f>
        <v>50599</v>
      </c>
      <c r="H17" s="82" t="n">
        <f aca="false">G17</f>
        <v>50599</v>
      </c>
      <c r="I17" s="82" t="n">
        <f aca="false">H17</f>
        <v>50599</v>
      </c>
      <c r="J17" s="82" t="n">
        <f aca="false">I17</f>
        <v>50599</v>
      </c>
      <c r="K17" s="82" t="n">
        <f aca="false">J17</f>
        <v>50599</v>
      </c>
      <c r="L17" s="82" t="n">
        <f aca="false">K17</f>
        <v>50599</v>
      </c>
      <c r="M17" s="82" t="n">
        <f aca="false">L17</f>
        <v>50599</v>
      </c>
      <c r="N17" s="82" t="n">
        <f aca="false">M17</f>
        <v>50599</v>
      </c>
      <c r="O17" s="82" t="n">
        <f aca="false">N17</f>
        <v>50599</v>
      </c>
      <c r="P17" s="82" t="n">
        <f aca="false">O17</f>
        <v>50599</v>
      </c>
      <c r="Q17" s="82" t="n">
        <f aca="false">P17</f>
        <v>50599</v>
      </c>
      <c r="R17" s="82" t="n">
        <f aca="false">Q17</f>
        <v>50599</v>
      </c>
      <c r="S17" s="82" t="n">
        <f aca="false">R17</f>
        <v>50599</v>
      </c>
    </row>
    <row r="18" customFormat="false" ht="15" hidden="false" customHeight="true" outlineLevel="0" collapsed="false">
      <c r="A18" s="1" t="s">
        <v>453</v>
      </c>
      <c r="B18" s="81" t="n">
        <f aca="false">OB_WED</f>
        <v>130979</v>
      </c>
      <c r="C18" s="82" t="n">
        <f aca="false">IF(PRAIRIES_TREATMENT="AMORTIZE",IF(1&gt;=PRAIRIES_START_MONTH,B18,B18+COST_WED),B18+COST_WED)</f>
        <v>135648</v>
      </c>
      <c r="D18" s="82" t="n">
        <f aca="false">IF(PRAIRIES_TREATMENT="AMORTIZE",IF(2&gt;=PRAIRIES_START_MONTH,C18,C18+COST_WED),C18+COST_WED)</f>
        <v>140317</v>
      </c>
      <c r="E18" s="82" t="n">
        <f aca="false">IF(PRAIRIES_TREATMENT="AMORTIZE",IF(3&gt;=PRAIRIES_START_MONTH,D18,D18+COST_WED),D18+COST_WED)</f>
        <v>144986</v>
      </c>
      <c r="F18" s="82" t="n">
        <f aca="false">IF(PRAIRIES_TREATMENT="AMORTIZE",IF(4&gt;=PRAIRIES_START_MONTH,E18,E18+COST_WED),E18+COST_WED)</f>
        <v>149655</v>
      </c>
      <c r="G18" s="82" t="n">
        <f aca="false">IF(PRAIRIES_TREATMENT="AMORTIZE",IF(5&gt;=PRAIRIES_START_MONTH,F18,F18+COST_WED),F18+COST_WED)</f>
        <v>154324</v>
      </c>
      <c r="H18" s="82" t="n">
        <f aca="false">IF(PRAIRIES_TREATMENT="AMORTIZE",IF(6&gt;=PRAIRIES_START_MONTH,G18,G18+COST_WED),G18+COST_WED)</f>
        <v>158993</v>
      </c>
      <c r="I18" s="82" t="n">
        <f aca="false">IF(PRAIRIES_TREATMENT="AMORTIZE",IF(7&gt;=PRAIRIES_START_MONTH,H18,H18+COST_WED),H18+COST_WED)</f>
        <v>163662</v>
      </c>
      <c r="J18" s="82" t="n">
        <f aca="false">IF(PRAIRIES_TREATMENT="AMORTIZE",IF(8&gt;=PRAIRIES_START_MONTH,I18,I18+COST_WED),I18+COST_WED)</f>
        <v>168331</v>
      </c>
      <c r="K18" s="82" t="n">
        <f aca="false">IF(PRAIRIES_TREATMENT="AMORTIZE",IF(9&gt;=PRAIRIES_START_MONTH,J18,J18+COST_WED),J18+COST_WED)</f>
        <v>173000</v>
      </c>
      <c r="L18" s="82" t="n">
        <f aca="false">IF(PRAIRIES_TREATMENT="AMORTIZE",IF(10&gt;=PRAIRIES_START_MONTH,K18,K18+COST_WED),K18+COST_WED)</f>
        <v>177669</v>
      </c>
      <c r="M18" s="82" t="n">
        <f aca="false">IF(PRAIRIES_TREATMENT="AMORTIZE",IF(11&gt;=PRAIRIES_START_MONTH,L18,L18+COST_WED),L18+COST_WED)</f>
        <v>182338</v>
      </c>
      <c r="N18" s="82" t="n">
        <f aca="false">IF(PRAIRIES_TREATMENT="AMORTIZE",IF(12&gt;=PRAIRIES_START_MONTH,M18,M18+COST_WED),M18+COST_WED)</f>
        <v>182338</v>
      </c>
      <c r="O18" s="82" t="n">
        <f aca="false">IF(PRAIRIES_TREATMENT="AMORTIZE",IF(13&gt;=PRAIRIES_START_MONTH,N18,N18+COST_WED),N18+COST_WED)</f>
        <v>182338</v>
      </c>
      <c r="P18" s="82" t="n">
        <f aca="false">IF(PRAIRIES_TREATMENT="AMORTIZE",IF(14&gt;=PRAIRIES_START_MONTH,O18,O18+COST_WED),O18+COST_WED)</f>
        <v>182338</v>
      </c>
      <c r="Q18" s="82" t="n">
        <f aca="false">IF(PRAIRIES_TREATMENT="AMORTIZE",IF(15&gt;=PRAIRIES_START_MONTH,P18,P18+COST_WED),P18+COST_WED)</f>
        <v>182338</v>
      </c>
      <c r="R18" s="82" t="n">
        <f aca="false">IF(PRAIRIES_TREATMENT="AMORTIZE",IF(16&gt;=PRAIRIES_START_MONTH,Q18,Q18+COST_WED),Q18+COST_WED)</f>
        <v>182338</v>
      </c>
      <c r="S18" s="82" t="n">
        <f aca="false">IF(PRAIRIES_TREATMENT="AMORTIZE",IF(17&gt;=PRAIRIES_START_MONTH,R18,R18+COST_WED),R18+COST_WED)</f>
        <v>182338</v>
      </c>
    </row>
    <row r="19" customFormat="false" ht="15" hidden="false" customHeight="true" outlineLevel="0" collapsed="false">
      <c r="A19" s="1" t="s">
        <v>454</v>
      </c>
      <c r="B19" s="81" t="n">
        <f aca="false">OB_DR</f>
        <v>447235</v>
      </c>
      <c r="C19" s="91" t="n">
        <f aca="false">4_WC!C21</f>
        <v>447235</v>
      </c>
      <c r="D19" s="91" t="n">
        <f aca="false">4_WC!D21</f>
        <v>447235</v>
      </c>
      <c r="E19" s="91" t="n">
        <f aca="false">4_WC!E21</f>
        <v>447235</v>
      </c>
      <c r="F19" s="91" t="n">
        <f aca="false">4_WC!F21</f>
        <v>0</v>
      </c>
      <c r="G19" s="91" t="n">
        <f aca="false">4_WC!G21</f>
        <v>0</v>
      </c>
      <c r="H19" s="91" t="n">
        <f aca="false">4_WC!H21</f>
        <v>0</v>
      </c>
      <c r="I19" s="91" t="n">
        <f aca="false">4_WC!I21</f>
        <v>0</v>
      </c>
      <c r="J19" s="91" t="n">
        <f aca="false">4_WC!J21</f>
        <v>0</v>
      </c>
      <c r="K19" s="91" t="n">
        <f aca="false">4_WC!K21</f>
        <v>0</v>
      </c>
      <c r="L19" s="91" t="n">
        <f aca="false">4_WC!L21</f>
        <v>0</v>
      </c>
      <c r="M19" s="91" t="n">
        <f aca="false">4_WC!M21</f>
        <v>0</v>
      </c>
      <c r="N19" s="91" t="n">
        <f aca="false">4_WC!N21</f>
        <v>0</v>
      </c>
      <c r="O19" s="91" t="n">
        <f aca="false">4_WC!O21</f>
        <v>0</v>
      </c>
      <c r="P19" s="91" t="n">
        <f aca="false">4_WC!P21</f>
        <v>0</v>
      </c>
      <c r="Q19" s="91" t="n">
        <f aca="false">4_WC!Q21</f>
        <v>0</v>
      </c>
      <c r="R19" s="91" t="n">
        <f aca="false">4_WC!R21</f>
        <v>0</v>
      </c>
      <c r="S19" s="91" t="n">
        <f aca="false">4_WC!S21</f>
        <v>0</v>
      </c>
    </row>
    <row r="20" customFormat="false" ht="15" hidden="false" customHeight="true" outlineLevel="0" collapsed="false">
      <c r="A20" s="1" t="s">
        <v>455</v>
      </c>
      <c r="B20" s="81" t="n">
        <f aca="false">OB_OCL</f>
        <v>-86900</v>
      </c>
      <c r="C20" s="82" t="n">
        <f aca="false">B20</f>
        <v>-86900</v>
      </c>
      <c r="D20" s="82" t="n">
        <f aca="false">C20</f>
        <v>-86900</v>
      </c>
      <c r="E20" s="82" t="n">
        <f aca="false">D20</f>
        <v>-86900</v>
      </c>
      <c r="F20" s="82" t="n">
        <f aca="false">E20</f>
        <v>-86900</v>
      </c>
      <c r="G20" s="82" t="n">
        <f aca="false">F20</f>
        <v>-86900</v>
      </c>
      <c r="H20" s="82" t="n">
        <f aca="false">G20</f>
        <v>-86900</v>
      </c>
      <c r="I20" s="82" t="n">
        <f aca="false">H20</f>
        <v>-86900</v>
      </c>
      <c r="J20" s="82" t="n">
        <f aca="false">I20</f>
        <v>-86900</v>
      </c>
      <c r="K20" s="82" t="n">
        <f aca="false">J20</f>
        <v>-86900</v>
      </c>
      <c r="L20" s="82" t="n">
        <f aca="false">K20</f>
        <v>-86900</v>
      </c>
      <c r="M20" s="82" t="n">
        <f aca="false">L20</f>
        <v>-86900</v>
      </c>
      <c r="N20" s="82" t="n">
        <f aca="false">M20</f>
        <v>-86900</v>
      </c>
      <c r="O20" s="82" t="n">
        <f aca="false">N20</f>
        <v>-86900</v>
      </c>
      <c r="P20" s="82" t="n">
        <f aca="false">O20</f>
        <v>-86900</v>
      </c>
      <c r="Q20" s="82" t="n">
        <f aca="false">P20</f>
        <v>-86900</v>
      </c>
      <c r="R20" s="82" t="n">
        <f aca="false">Q20</f>
        <v>-86900</v>
      </c>
      <c r="S20" s="82" t="n">
        <f aca="false">R20</f>
        <v>-86900</v>
      </c>
    </row>
    <row r="21" customFormat="false" ht="15" hidden="false" customHeight="true" outlineLevel="0" collapsed="false">
      <c r="A21" s="76" t="s">
        <v>703</v>
      </c>
      <c r="B21" s="81" t="n">
        <f aca="false">SUM(B15:B20)</f>
        <v>649476</v>
      </c>
      <c r="C21" s="82" t="n">
        <f aca="false">SUM(C15:C20)</f>
        <v>654145</v>
      </c>
      <c r="D21" s="82" t="n">
        <f aca="false">SUM(D15:D20)</f>
        <v>658814</v>
      </c>
      <c r="E21" s="82" t="n">
        <f aca="false">SUM(E15:E20)</f>
        <v>663483</v>
      </c>
      <c r="F21" s="82" t="n">
        <f aca="false">SUM(F15:F20)</f>
        <v>220917</v>
      </c>
      <c r="G21" s="82" t="n">
        <f aca="false">SUM(G15:G20)</f>
        <v>225586</v>
      </c>
      <c r="H21" s="82" t="n">
        <f aca="false">SUM(H15:H20)</f>
        <v>230255</v>
      </c>
      <c r="I21" s="82" t="n">
        <f aca="false">SUM(I15:I20)</f>
        <v>234924</v>
      </c>
      <c r="J21" s="82" t="n">
        <f aca="false">SUM(J15:J20)</f>
        <v>239593</v>
      </c>
      <c r="K21" s="82" t="n">
        <f aca="false">SUM(K15:K20)</f>
        <v>244262</v>
      </c>
      <c r="L21" s="82" t="n">
        <f aca="false">SUM(L15:L20)</f>
        <v>248931</v>
      </c>
      <c r="M21" s="82" t="n">
        <f aca="false">SUM(M15:M20)</f>
        <v>253600</v>
      </c>
      <c r="N21" s="82" t="n">
        <f aca="false">SUM(N15:N20)</f>
        <v>253600</v>
      </c>
      <c r="O21" s="82" t="n">
        <f aca="false">SUM(O15:O20)</f>
        <v>253600</v>
      </c>
      <c r="P21" s="82" t="n">
        <f aca="false">SUM(P15:P20)</f>
        <v>253600</v>
      </c>
      <c r="Q21" s="82" t="n">
        <f aca="false">SUM(Q15:Q20)</f>
        <v>253600</v>
      </c>
      <c r="R21" s="82" t="n">
        <f aca="false">SUM(R15:R20)</f>
        <v>253600</v>
      </c>
      <c r="S21" s="82" t="n">
        <f aca="false">SUM(S15:S20)</f>
        <v>253600</v>
      </c>
    </row>
    <row r="22" customFormat="false" ht="15" hidden="false" customHeight="true" outlineLevel="0" collapsed="false">
      <c r="A22" s="1" t="s">
        <v>108</v>
      </c>
      <c r="B22" s="81" t="n">
        <f aca="false">OB_BDC</f>
        <v>210686</v>
      </c>
      <c r="C22" s="91" t="n">
        <f aca="false">7_Debt!C7</f>
        <v>205738.281083333</v>
      </c>
      <c r="D22" s="91" t="n">
        <f aca="false">7_Debt!D7</f>
        <v>200747.063471191</v>
      </c>
      <c r="E22" s="91" t="n">
        <f aca="false">7_Debt!E7</f>
        <v>195711.964737542</v>
      </c>
      <c r="F22" s="91" t="n">
        <f aca="false">7_Debt!F7</f>
        <v>190632.599094193</v>
      </c>
      <c r="G22" s="91" t="n">
        <f aca="false">7_Debt!G7</f>
        <v>185508.577361229</v>
      </c>
      <c r="H22" s="91" t="n">
        <f aca="false">7_Debt!H7</f>
        <v>180339.506937197</v>
      </c>
      <c r="I22" s="91" t="n">
        <f aca="false">7_Debt!I7</f>
        <v>175124.99176902</v>
      </c>
      <c r="J22" s="91" t="n">
        <f aca="false">7_Debt!J7</f>
        <v>169864.632321656</v>
      </c>
      <c r="K22" s="91" t="n">
        <f aca="false">7_Debt!K7</f>
        <v>164558.025547483</v>
      </c>
      <c r="L22" s="91" t="n">
        <f aca="false">7_Debt!L7</f>
        <v>159204.764855422</v>
      </c>
      <c r="M22" s="91" t="n">
        <f aca="false">7_Debt!M7</f>
        <v>153804.440079776</v>
      </c>
      <c r="N22" s="91" t="n">
        <f aca="false">7_Debt!N7</f>
        <v>148356.63744881</v>
      </c>
      <c r="O22" s="91" t="n">
        <f aca="false">7_Debt!O7</f>
        <v>142860.939553048</v>
      </c>
      <c r="P22" s="91" t="n">
        <f aca="false">7_Debt!P7</f>
        <v>137316.925313285</v>
      </c>
      <c r="Q22" s="91" t="n">
        <f aca="false">7_Debt!Q7</f>
        <v>131724.169948331</v>
      </c>
      <c r="R22" s="91" t="n">
        <f aca="false">7_Debt!R7</f>
        <v>126082.24494246</v>
      </c>
      <c r="S22" s="91" t="n">
        <f aca="false">7_Debt!S7</f>
        <v>120390.718012579</v>
      </c>
    </row>
    <row r="23" customFormat="false" ht="15" hidden="false" customHeight="true" outlineLevel="0" collapsed="false">
      <c r="A23" s="1" t="s">
        <v>704</v>
      </c>
      <c r="B23" s="81" t="n">
        <f aca="false">OB_PRAIRIES</f>
        <v>344331</v>
      </c>
      <c r="C23" s="90" t="n">
        <f aca="false">7_Debt!C14</f>
        <v>344331</v>
      </c>
      <c r="D23" s="90" t="n">
        <f aca="false">7_Debt!D14</f>
        <v>344331</v>
      </c>
      <c r="E23" s="90" t="n">
        <f aca="false">7_Debt!E14</f>
        <v>344331</v>
      </c>
      <c r="F23" s="90" t="n">
        <f aca="false">7_Debt!F14</f>
        <v>344331</v>
      </c>
      <c r="G23" s="90" t="n">
        <f aca="false">7_Debt!G14</f>
        <v>344331</v>
      </c>
      <c r="H23" s="90" t="n">
        <f aca="false">7_Debt!H14</f>
        <v>344331</v>
      </c>
      <c r="I23" s="90" t="n">
        <f aca="false">7_Debt!I14</f>
        <v>344331</v>
      </c>
      <c r="J23" s="90" t="n">
        <f aca="false">7_Debt!J14</f>
        <v>344331</v>
      </c>
      <c r="K23" s="90" t="n">
        <f aca="false">7_Debt!K14</f>
        <v>344331</v>
      </c>
      <c r="L23" s="90" t="n">
        <f aca="false">7_Debt!L14</f>
        <v>344331</v>
      </c>
      <c r="M23" s="90" t="n">
        <f aca="false">7_Debt!M14</f>
        <v>344331</v>
      </c>
      <c r="N23" s="90" t="n">
        <f aca="false">7_Debt!N14</f>
        <v>339644.54</v>
      </c>
      <c r="O23" s="90" t="n">
        <f aca="false">7_Debt!O14</f>
        <v>334926.836933333</v>
      </c>
      <c r="P23" s="90" t="n">
        <f aca="false">7_Debt!P14</f>
        <v>330177.682512889</v>
      </c>
      <c r="Q23" s="90" t="n">
        <f aca="false">7_Debt!Q14</f>
        <v>325396.867062975</v>
      </c>
      <c r="R23" s="90" t="n">
        <f aca="false">7_Debt!R14</f>
        <v>320584.179510061</v>
      </c>
      <c r="S23" s="90" t="n">
        <f aca="false">7_Debt!S14</f>
        <v>315739.407373462</v>
      </c>
    </row>
    <row r="24" customFormat="false" ht="15" hidden="false" customHeight="true" outlineLevel="0" collapsed="false">
      <c r="A24" s="1" t="s">
        <v>705</v>
      </c>
      <c r="B24" s="1" t="n">
        <f aca="false">OB_CEBA</f>
        <v>56700</v>
      </c>
      <c r="C24" s="95" t="n">
        <f aca="false">7_Debt!C19</f>
        <v>56700</v>
      </c>
      <c r="D24" s="95" t="n">
        <f aca="false">7_Debt!D19</f>
        <v>56700</v>
      </c>
      <c r="E24" s="95" t="n">
        <f aca="false">7_Debt!E19</f>
        <v>56700</v>
      </c>
      <c r="F24" s="95" t="n">
        <f aca="false">7_Debt!F19</f>
        <v>56700</v>
      </c>
      <c r="G24" s="95" t="n">
        <f aca="false">7_Debt!G19</f>
        <v>56700</v>
      </c>
      <c r="H24" s="95" t="n">
        <f aca="false">7_Debt!H19</f>
        <v>56700</v>
      </c>
      <c r="I24" s="95" t="n">
        <f aca="false">7_Debt!I19</f>
        <v>56700</v>
      </c>
      <c r="J24" s="95" t="n">
        <f aca="false">7_Debt!J19</f>
        <v>56700</v>
      </c>
      <c r="K24" s="95" t="n">
        <f aca="false">7_Debt!K19</f>
        <v>56700</v>
      </c>
      <c r="L24" s="95" t="n">
        <f aca="false">7_Debt!L19</f>
        <v>56700</v>
      </c>
      <c r="M24" s="95" t="n">
        <f aca="false">7_Debt!M19</f>
        <v>0</v>
      </c>
      <c r="N24" s="95" t="n">
        <f aca="false">7_Debt!N19</f>
        <v>0</v>
      </c>
      <c r="O24" s="95" t="n">
        <f aca="false">7_Debt!O19</f>
        <v>0</v>
      </c>
      <c r="P24" s="95" t="n">
        <f aca="false">7_Debt!P19</f>
        <v>0</v>
      </c>
      <c r="Q24" s="95" t="n">
        <f aca="false">7_Debt!Q19</f>
        <v>0</v>
      </c>
      <c r="R24" s="95" t="n">
        <f aca="false">7_Debt!R19</f>
        <v>0</v>
      </c>
      <c r="S24" s="95" t="n">
        <f aca="false">7_Debt!S19</f>
        <v>0</v>
      </c>
    </row>
    <row r="25" customFormat="false" ht="15" hidden="false" customHeight="true" outlineLevel="0" collapsed="false">
      <c r="A25" s="1" t="s">
        <v>706</v>
      </c>
      <c r="B25" s="81" t="n">
        <f aca="false">OB_OLTL</f>
        <v>85996</v>
      </c>
      <c r="C25" s="82" t="n">
        <f aca="false">B25</f>
        <v>85996</v>
      </c>
      <c r="D25" s="82" t="n">
        <f aca="false">C25</f>
        <v>85996</v>
      </c>
      <c r="E25" s="82" t="n">
        <f aca="false">D25</f>
        <v>85996</v>
      </c>
      <c r="F25" s="82" t="n">
        <f aca="false">E25</f>
        <v>85996</v>
      </c>
      <c r="G25" s="82" t="n">
        <f aca="false">F25</f>
        <v>85996</v>
      </c>
      <c r="H25" s="82" t="n">
        <f aca="false">G25</f>
        <v>85996</v>
      </c>
      <c r="I25" s="82" t="n">
        <f aca="false">H25</f>
        <v>85996</v>
      </c>
      <c r="J25" s="82" t="n">
        <f aca="false">I25</f>
        <v>85996</v>
      </c>
      <c r="K25" s="82" t="n">
        <f aca="false">J25</f>
        <v>85996</v>
      </c>
      <c r="L25" s="82" t="n">
        <f aca="false">K25</f>
        <v>85996</v>
      </c>
      <c r="M25" s="82" t="n">
        <f aca="false">L25</f>
        <v>85996</v>
      </c>
      <c r="N25" s="82" t="n">
        <f aca="false">M25</f>
        <v>85996</v>
      </c>
      <c r="O25" s="82" t="n">
        <f aca="false">N25</f>
        <v>85996</v>
      </c>
      <c r="P25" s="82" t="n">
        <f aca="false">O25</f>
        <v>85996</v>
      </c>
      <c r="Q25" s="82" t="n">
        <f aca="false">P25</f>
        <v>85996</v>
      </c>
      <c r="R25" s="82" t="n">
        <f aca="false">Q25</f>
        <v>85996</v>
      </c>
      <c r="S25" s="82" t="n">
        <f aca="false">R25</f>
        <v>85996</v>
      </c>
    </row>
    <row r="26" customFormat="false" ht="15" hidden="false" customHeight="true" outlineLevel="0" collapsed="false">
      <c r="A26" s="76" t="s">
        <v>707</v>
      </c>
      <c r="B26" s="81" t="n">
        <f aca="false">B22+B23+B24+B25</f>
        <v>697713</v>
      </c>
      <c r="C26" s="82" t="n">
        <f aca="false">C22+C23+C24+C25</f>
        <v>692765.281083333</v>
      </c>
      <c r="D26" s="82" t="n">
        <f aca="false">D22+D23+D24+D25</f>
        <v>687774.063471191</v>
      </c>
      <c r="E26" s="82" t="n">
        <f aca="false">E22+E23+E24+E25</f>
        <v>682738.964737542</v>
      </c>
      <c r="F26" s="82" t="n">
        <f aca="false">F22+F23+F24+F25</f>
        <v>677659.599094193</v>
      </c>
      <c r="G26" s="82" t="n">
        <f aca="false">G22+G23+G24+G25</f>
        <v>672535.577361229</v>
      </c>
      <c r="H26" s="82" t="n">
        <f aca="false">H22+H23+H24+H25</f>
        <v>667366.506937197</v>
      </c>
      <c r="I26" s="82" t="n">
        <f aca="false">I22+I23+I24+I25</f>
        <v>662151.99176902</v>
      </c>
      <c r="J26" s="82" t="n">
        <f aca="false">J22+J23+J24+J25</f>
        <v>656891.632321656</v>
      </c>
      <c r="K26" s="82" t="n">
        <f aca="false">K22+K23+K24+K25</f>
        <v>651585.025547484</v>
      </c>
      <c r="L26" s="82" t="n">
        <f aca="false">L22+L23+L24+L25</f>
        <v>646231.764855422</v>
      </c>
      <c r="M26" s="82" t="n">
        <f aca="false">M22+M23+M24+M25</f>
        <v>584131.440079776</v>
      </c>
      <c r="N26" s="82" t="n">
        <f aca="false">N22+N23+N24+N25</f>
        <v>573997.17744881</v>
      </c>
      <c r="O26" s="82" t="n">
        <f aca="false">O22+O23+O24+O25</f>
        <v>563783.776486381</v>
      </c>
      <c r="P26" s="82" t="n">
        <f aca="false">P22+P23+P24+P25</f>
        <v>553490.607826174</v>
      </c>
      <c r="Q26" s="82" t="n">
        <f aca="false">Q22+Q23+Q24+Q25</f>
        <v>543117.037011306</v>
      </c>
      <c r="R26" s="82" t="n">
        <f aca="false">R22+R23+R24+R25</f>
        <v>532662.424452521</v>
      </c>
      <c r="S26" s="82" t="n">
        <f aca="false">S22+S23+S24+S25</f>
        <v>522126.125386041</v>
      </c>
    </row>
    <row r="27" customFormat="false" ht="15" hidden="false" customHeight="true" outlineLevel="0" collapsed="false">
      <c r="A27" s="76" t="s">
        <v>708</v>
      </c>
      <c r="B27" s="81" t="n">
        <f aca="false">B21+B26</f>
        <v>1347189</v>
      </c>
      <c r="C27" s="83" t="n">
        <f aca="false">C21+C26</f>
        <v>1346910.28108333</v>
      </c>
      <c r="D27" s="83" t="n">
        <f aca="false">D21+D26</f>
        <v>1346588.06347119</v>
      </c>
      <c r="E27" s="83" t="n">
        <f aca="false">E21+E26</f>
        <v>1346221.96473754</v>
      </c>
      <c r="F27" s="83" t="n">
        <f aca="false">F21+F26</f>
        <v>898576.599094193</v>
      </c>
      <c r="G27" s="83" t="n">
        <f aca="false">G21+G26</f>
        <v>898121.577361229</v>
      </c>
      <c r="H27" s="83" t="n">
        <f aca="false">H21+H26</f>
        <v>897621.506937197</v>
      </c>
      <c r="I27" s="83" t="n">
        <f aca="false">I21+I26</f>
        <v>897075.99176902</v>
      </c>
      <c r="J27" s="83" t="n">
        <f aca="false">J21+J26</f>
        <v>896484.632321656</v>
      </c>
      <c r="K27" s="83" t="n">
        <f aca="false">K21+K26</f>
        <v>895847.025547484</v>
      </c>
      <c r="L27" s="83" t="n">
        <f aca="false">L21+L26</f>
        <v>895162.764855422</v>
      </c>
      <c r="M27" s="83" t="n">
        <f aca="false">M21+M26</f>
        <v>837731.440079776</v>
      </c>
      <c r="N27" s="83" t="n">
        <f aca="false">N21+N26</f>
        <v>827597.17744881</v>
      </c>
      <c r="O27" s="83" t="n">
        <f aca="false">O21+O26</f>
        <v>817383.776486381</v>
      </c>
      <c r="P27" s="83" t="n">
        <f aca="false">P21+P26</f>
        <v>807090.607826174</v>
      </c>
      <c r="Q27" s="83" t="n">
        <f aca="false">Q21+Q26</f>
        <v>796717.037011306</v>
      </c>
      <c r="R27" s="83" t="n">
        <f aca="false">R21+R26</f>
        <v>786262.424452521</v>
      </c>
      <c r="S27" s="83" t="n">
        <f aca="false">S21+S26</f>
        <v>775726.125386041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48" t="s">
        <v>709</v>
      </c>
    </row>
    <row r="30" customFormat="false" ht="15" hidden="false" customHeight="true" outlineLevel="0" collapsed="false">
      <c r="A30" s="1" t="s">
        <v>461</v>
      </c>
      <c r="B30" s="81" t="n">
        <f aca="false">OB_SHARECAP</f>
        <v>1176273</v>
      </c>
      <c r="C30" s="82" t="n">
        <f aca="false">B30+5_CF!C18</f>
        <v>1176273</v>
      </c>
      <c r="D30" s="82" t="n">
        <f aca="false">C30+5_CF!D18</f>
        <v>1426273</v>
      </c>
      <c r="E30" s="82" t="n">
        <f aca="false">D30+5_CF!E18</f>
        <v>1426273</v>
      </c>
      <c r="F30" s="82" t="n">
        <f aca="false">E30+5_CF!F18</f>
        <v>1426273</v>
      </c>
      <c r="G30" s="82" t="n">
        <f aca="false">F30+5_CF!G18</f>
        <v>1926273</v>
      </c>
      <c r="H30" s="82" t="n">
        <f aca="false">G30+5_CF!H18</f>
        <v>1926273</v>
      </c>
      <c r="I30" s="82" t="n">
        <f aca="false">H30+5_CF!I18</f>
        <v>1926273</v>
      </c>
      <c r="J30" s="82" t="n">
        <f aca="false">I30+5_CF!J18</f>
        <v>1926273</v>
      </c>
      <c r="K30" s="82" t="n">
        <f aca="false">J30+5_CF!K18</f>
        <v>1926273</v>
      </c>
      <c r="L30" s="82" t="n">
        <f aca="false">K30+5_CF!L18</f>
        <v>1926273</v>
      </c>
      <c r="M30" s="82" t="n">
        <f aca="false">L30+5_CF!M18</f>
        <v>1926273</v>
      </c>
      <c r="N30" s="82" t="n">
        <f aca="false">M30+5_CF!N18</f>
        <v>1926273</v>
      </c>
      <c r="O30" s="82" t="n">
        <f aca="false">N30+5_CF!O18</f>
        <v>1926273</v>
      </c>
      <c r="P30" s="82" t="n">
        <f aca="false">O30+5_CF!P18</f>
        <v>1926273</v>
      </c>
      <c r="Q30" s="82" t="n">
        <f aca="false">P30+5_CF!Q18</f>
        <v>1926273</v>
      </c>
      <c r="R30" s="82" t="n">
        <f aca="false">Q30+5_CF!R18</f>
        <v>1926273</v>
      </c>
      <c r="S30" s="82" t="n">
        <f aca="false">R30+5_CF!S18</f>
        <v>1926273</v>
      </c>
    </row>
    <row r="31" customFormat="false" ht="15" hidden="false" customHeight="true" outlineLevel="0" collapsed="false">
      <c r="A31" s="1" t="s">
        <v>462</v>
      </c>
      <c r="B31" s="81" t="n">
        <f aca="false">OB_OBE</f>
        <v>191087</v>
      </c>
      <c r="C31" s="82" t="n">
        <f aca="false">B31</f>
        <v>191087</v>
      </c>
      <c r="D31" s="82" t="n">
        <f aca="false">C31</f>
        <v>191087</v>
      </c>
      <c r="E31" s="82" t="n">
        <f aca="false">D31</f>
        <v>191087</v>
      </c>
      <c r="F31" s="82" t="n">
        <f aca="false">E31</f>
        <v>191087</v>
      </c>
      <c r="G31" s="82" t="n">
        <f aca="false">F31</f>
        <v>191087</v>
      </c>
      <c r="H31" s="82" t="n">
        <f aca="false">G31</f>
        <v>191087</v>
      </c>
      <c r="I31" s="82" t="n">
        <f aca="false">H31</f>
        <v>191087</v>
      </c>
      <c r="J31" s="82" t="n">
        <f aca="false">I31</f>
        <v>191087</v>
      </c>
      <c r="K31" s="82" t="n">
        <f aca="false">J31</f>
        <v>191087</v>
      </c>
      <c r="L31" s="82" t="n">
        <f aca="false">K31</f>
        <v>191087</v>
      </c>
      <c r="M31" s="82" t="n">
        <f aca="false">L31</f>
        <v>191087</v>
      </c>
      <c r="N31" s="82" t="n">
        <f aca="false">M31</f>
        <v>191087</v>
      </c>
      <c r="O31" s="82" t="n">
        <f aca="false">N31</f>
        <v>191087</v>
      </c>
      <c r="P31" s="82" t="n">
        <f aca="false">O31</f>
        <v>191087</v>
      </c>
      <c r="Q31" s="82" t="n">
        <f aca="false">P31</f>
        <v>191087</v>
      </c>
      <c r="R31" s="82" t="n">
        <f aca="false">Q31</f>
        <v>191087</v>
      </c>
      <c r="S31" s="82" t="n">
        <f aca="false">R31</f>
        <v>191087</v>
      </c>
    </row>
    <row r="32" customFormat="false" ht="15" hidden="false" customHeight="true" outlineLevel="0" collapsed="false">
      <c r="A32" s="1" t="s">
        <v>710</v>
      </c>
      <c r="B32" s="81" t="n">
        <f aca="false">OB_RE</f>
        <v>-2234371</v>
      </c>
      <c r="C32" s="82" t="n">
        <f aca="false">B32</f>
        <v>-2234371</v>
      </c>
      <c r="D32" s="82" t="n">
        <f aca="false">C32</f>
        <v>-2234371</v>
      </c>
      <c r="E32" s="82" t="n">
        <f aca="false">D32</f>
        <v>-2234371</v>
      </c>
      <c r="F32" s="82" t="n">
        <f aca="false">E32</f>
        <v>-2234371</v>
      </c>
      <c r="G32" s="82" t="n">
        <f aca="false">F32</f>
        <v>-2234371</v>
      </c>
      <c r="H32" s="82" t="n">
        <f aca="false">G32</f>
        <v>-2234371</v>
      </c>
      <c r="I32" s="82" t="n">
        <f aca="false">H32</f>
        <v>-2234371</v>
      </c>
      <c r="J32" s="82" t="n">
        <f aca="false">I32</f>
        <v>-2234371</v>
      </c>
      <c r="K32" s="82" t="n">
        <f aca="false">J32</f>
        <v>-2234371</v>
      </c>
      <c r="L32" s="82" t="n">
        <f aca="false">K32</f>
        <v>-2234371</v>
      </c>
      <c r="M32" s="82" t="n">
        <f aca="false">L32</f>
        <v>-2234371</v>
      </c>
      <c r="N32" s="82" t="n">
        <f aca="false">M32</f>
        <v>-2234371</v>
      </c>
      <c r="O32" s="82" t="n">
        <f aca="false">N32</f>
        <v>-2234371</v>
      </c>
      <c r="P32" s="82" t="n">
        <f aca="false">O32</f>
        <v>-2234371</v>
      </c>
      <c r="Q32" s="82" t="n">
        <f aca="false">P32</f>
        <v>-2234371</v>
      </c>
      <c r="R32" s="82" t="n">
        <f aca="false">Q32</f>
        <v>-2234371</v>
      </c>
      <c r="S32" s="82" t="n">
        <f aca="false">R32</f>
        <v>-2234371</v>
      </c>
    </row>
    <row r="33" customFormat="false" ht="15" hidden="false" customHeight="true" outlineLevel="0" collapsed="false">
      <c r="A33" s="1" t="s">
        <v>711</v>
      </c>
      <c r="B33" s="81" t="n">
        <v>0</v>
      </c>
      <c r="C33" s="90" t="n">
        <f aca="false">3_IS!C19</f>
        <v>-13021.2810833333</v>
      </c>
      <c r="D33" s="90" t="n">
        <f aca="false">3_IS!D19</f>
        <v>-25999.063471191</v>
      </c>
      <c r="E33" s="90" t="n">
        <f aca="false">3_IS!E19</f>
        <v>-38932.9647375419</v>
      </c>
      <c r="F33" s="90" t="n">
        <f aca="false">3_IS!F19</f>
        <v>246211.400905807</v>
      </c>
      <c r="G33" s="90" t="n">
        <f aca="false">3_IS!G19</f>
        <v>233366.422638771</v>
      </c>
      <c r="H33" s="90" t="n">
        <f aca="false">3_IS!H19</f>
        <v>220566.493062803</v>
      </c>
      <c r="I33" s="90" t="n">
        <f aca="false">3_IS!I19</f>
        <v>207812.008230981</v>
      </c>
      <c r="J33" s="90" t="n">
        <f aca="false">3_IS!J19</f>
        <v>195103.367678345</v>
      </c>
      <c r="K33" s="90" t="n">
        <f aca="false">3_IS!K19</f>
        <v>380315.524452517</v>
      </c>
      <c r="L33" s="90" t="n">
        <f aca="false">3_IS!L19</f>
        <v>595053.785144578</v>
      </c>
      <c r="M33" s="90" t="n">
        <f aca="false">3_IS!M19</f>
        <v>599006.559920224</v>
      </c>
      <c r="N33" s="90" t="n">
        <f aca="false">3_IS!N19</f>
        <v>588858.82255119</v>
      </c>
      <c r="O33" s="90" t="n">
        <f aca="false">3_IS!O19</f>
        <v>578790.223513619</v>
      </c>
      <c r="P33" s="90" t="n">
        <f aca="false">3_IS!P19</f>
        <v>568801.392173826</v>
      </c>
      <c r="Q33" s="90" t="n">
        <f aca="false">3_IS!Q19</f>
        <v>558892.962988694</v>
      </c>
      <c r="R33" s="90" t="n">
        <f aca="false">3_IS!R19</f>
        <v>549065.575547479</v>
      </c>
      <c r="S33" s="90" t="n">
        <f aca="false">3_IS!S19</f>
        <v>539319.874613959</v>
      </c>
    </row>
    <row r="34" customFormat="false" ht="15" hidden="false" customHeight="true" outlineLevel="0" collapsed="false">
      <c r="A34" s="76" t="s">
        <v>712</v>
      </c>
      <c r="B34" s="81" t="n">
        <f aca="false">B30+B31+B32+B33</f>
        <v>-867011</v>
      </c>
      <c r="C34" s="83" t="n">
        <f aca="false">C30+C31+C32+C33</f>
        <v>-880032.281083333</v>
      </c>
      <c r="D34" s="83" t="n">
        <f aca="false">D30+D31+D32+D33</f>
        <v>-643010.063471191</v>
      </c>
      <c r="E34" s="83" t="n">
        <f aca="false">E30+E31+E32+E33</f>
        <v>-655943.964737542</v>
      </c>
      <c r="F34" s="83" t="n">
        <f aca="false">F30+F31+F32+F33</f>
        <v>-370799.599094193</v>
      </c>
      <c r="G34" s="83" t="n">
        <f aca="false">G30+G31+G32+G33</f>
        <v>116355.422638771</v>
      </c>
      <c r="H34" s="83" t="n">
        <f aca="false">H30+H31+H32+H33</f>
        <v>103555.493062803</v>
      </c>
      <c r="I34" s="83" t="n">
        <f aca="false">I30+I31+I32+I33</f>
        <v>90801.0082309805</v>
      </c>
      <c r="J34" s="83" t="n">
        <f aca="false">J30+J31+J32+J33</f>
        <v>78092.3676783445</v>
      </c>
      <c r="K34" s="83" t="n">
        <f aca="false">K30+K31+K32+K33</f>
        <v>263304.524452517</v>
      </c>
      <c r="L34" s="83" t="n">
        <f aca="false">L30+L31+L32+L33</f>
        <v>478042.785144578</v>
      </c>
      <c r="M34" s="83" t="n">
        <f aca="false">M30+M31+M32+M33</f>
        <v>481995.559920224</v>
      </c>
      <c r="N34" s="83" t="n">
        <f aca="false">N30+N31+N32+N33</f>
        <v>471847.82255119</v>
      </c>
      <c r="O34" s="83" t="n">
        <f aca="false">O30+O31+O32+O33</f>
        <v>461779.223513619</v>
      </c>
      <c r="P34" s="83" t="n">
        <f aca="false">P30+P31+P32+P33</f>
        <v>451790.392173826</v>
      </c>
      <c r="Q34" s="83" t="n">
        <f aca="false">Q30+Q31+Q32+Q33</f>
        <v>441881.962988694</v>
      </c>
      <c r="R34" s="83" t="n">
        <f aca="false">R30+R31+R32+R33</f>
        <v>432054.575547479</v>
      </c>
      <c r="S34" s="83" t="n">
        <f aca="false">S30+S31+S32+S33</f>
        <v>422308.874613959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76" t="s">
        <v>713</v>
      </c>
      <c r="B36" s="81" t="n">
        <f aca="false">B27+B34</f>
        <v>480178</v>
      </c>
      <c r="C36" s="83" t="n">
        <f aca="false">C27+C34</f>
        <v>466878</v>
      </c>
      <c r="D36" s="83" t="n">
        <f aca="false">D27+D34</f>
        <v>703578</v>
      </c>
      <c r="E36" s="83" t="n">
        <f aca="false">E27+E34</f>
        <v>690278</v>
      </c>
      <c r="F36" s="83" t="n">
        <f aca="false">F27+F34</f>
        <v>527777</v>
      </c>
      <c r="G36" s="83" t="n">
        <f aca="false">G27+G34</f>
        <v>1014477</v>
      </c>
      <c r="H36" s="83" t="n">
        <f aca="false">H27+H34</f>
        <v>1001177</v>
      </c>
      <c r="I36" s="83" t="n">
        <f aca="false">I27+I34</f>
        <v>987877</v>
      </c>
      <c r="J36" s="83" t="n">
        <f aca="false">J27+J34</f>
        <v>974577</v>
      </c>
      <c r="K36" s="83" t="n">
        <f aca="false">K27+K34</f>
        <v>1159151.55</v>
      </c>
      <c r="L36" s="83" t="n">
        <f aca="false">L27+L34</f>
        <v>1373205.55</v>
      </c>
      <c r="M36" s="83" t="n">
        <f aca="false">M27+M34</f>
        <v>1319727</v>
      </c>
      <c r="N36" s="83" t="n">
        <f aca="false">N27+N34</f>
        <v>1299445</v>
      </c>
      <c r="O36" s="83" t="n">
        <f aca="false">O27+O34</f>
        <v>1279163</v>
      </c>
      <c r="P36" s="83" t="n">
        <f aca="false">P27+P34</f>
        <v>1258881</v>
      </c>
      <c r="Q36" s="83" t="n">
        <f aca="false">Q27+Q34</f>
        <v>1238599</v>
      </c>
      <c r="R36" s="83" t="n">
        <f aca="false">R27+R34</f>
        <v>1218317</v>
      </c>
      <c r="S36" s="83" t="n">
        <f aca="false">S27+S34</f>
        <v>1198035</v>
      </c>
    </row>
    <row r="37" customFormat="false" ht="15" hidden="false" customHeight="true" outlineLevel="0" collapsed="false">
      <c r="A37" s="1" t="s">
        <v>714</v>
      </c>
      <c r="B37" s="68" t="str">
        <f aca="false">IF(ABS(B38)&lt;1,"BALANCED","ERROR")</f>
        <v>BALANCED</v>
      </c>
      <c r="C37" s="1" t="str">
        <f aca="false">IF(ABS(C38)&lt;1,"BALANCED","ERROR")</f>
        <v>BALANCED</v>
      </c>
      <c r="D37" s="1" t="str">
        <f aca="false">IF(ABS(D38)&lt;1,"BALANCED","ERROR")</f>
        <v>BALANCED</v>
      </c>
      <c r="E37" s="1" t="str">
        <f aca="false">IF(ABS(E38)&lt;1,"BALANCED","ERROR")</f>
        <v>BALANCED</v>
      </c>
      <c r="F37" s="1" t="str">
        <f aca="false">IF(ABS(F38)&lt;1,"BALANCED","ERROR")</f>
        <v>BALANCED</v>
      </c>
      <c r="G37" s="1" t="str">
        <f aca="false">IF(ABS(G38)&lt;1,"BALANCED","ERROR")</f>
        <v>BALANCED</v>
      </c>
      <c r="H37" s="1" t="str">
        <f aca="false">IF(ABS(H38)&lt;1,"BALANCED","ERROR")</f>
        <v>BALANCED</v>
      </c>
      <c r="I37" s="1" t="str">
        <f aca="false">IF(ABS(I38)&lt;1,"BALANCED","ERROR")</f>
        <v>BALANCED</v>
      </c>
      <c r="J37" s="1" t="str">
        <f aca="false">IF(ABS(J38)&lt;1,"BALANCED","ERROR")</f>
        <v>BALANCED</v>
      </c>
      <c r="K37" s="1" t="str">
        <f aca="false">IF(ABS(K38)&lt;1,"BALANCED","ERROR")</f>
        <v>BALANCED</v>
      </c>
      <c r="L37" s="1" t="str">
        <f aca="false">IF(ABS(L38)&lt;1,"BALANCED","ERROR")</f>
        <v>BALANCED</v>
      </c>
      <c r="M37" s="1" t="str">
        <f aca="false">IF(ABS(M38)&lt;1,"BALANCED","ERROR")</f>
        <v>BALANCED</v>
      </c>
      <c r="N37" s="1" t="str">
        <f aca="false">IF(ABS(N38)&lt;1,"BALANCED","ERROR")</f>
        <v>BALANCED</v>
      </c>
      <c r="O37" s="1" t="str">
        <f aca="false">IF(ABS(O38)&lt;1,"BALANCED","ERROR")</f>
        <v>BALANCED</v>
      </c>
      <c r="P37" s="1" t="str">
        <f aca="false">IF(ABS(P38)&lt;1,"BALANCED","ERROR")</f>
        <v>BALANCED</v>
      </c>
      <c r="Q37" s="1" t="str">
        <f aca="false">IF(ABS(Q38)&lt;1,"BALANCED","ERROR")</f>
        <v>BALANCED</v>
      </c>
      <c r="R37" s="1" t="str">
        <f aca="false">IF(ABS(R38)&lt;1,"BALANCED","ERROR")</f>
        <v>BALANCED</v>
      </c>
      <c r="S37" s="1" t="str">
        <f aca="false">IF(ABS(S38)&lt;1,"BALANCED","ERROR")</f>
        <v>BALANCED</v>
      </c>
    </row>
    <row r="38" customFormat="false" ht="15" hidden="false" customHeight="true" outlineLevel="0" collapsed="false">
      <c r="A38" s="1" t="s">
        <v>715</v>
      </c>
      <c r="B38" s="81" t="n">
        <f aca="false">ROUND(B12-B36,2)</f>
        <v>0</v>
      </c>
      <c r="C38" s="82" t="n">
        <f aca="false">ROUND(C12-C36,2)</f>
        <v>0</v>
      </c>
      <c r="D38" s="82" t="n">
        <f aca="false">ROUND(D12-D36,2)</f>
        <v>0</v>
      </c>
      <c r="E38" s="82" t="n">
        <f aca="false">ROUND(E12-E36,2)</f>
        <v>0</v>
      </c>
      <c r="F38" s="82" t="n">
        <f aca="false">ROUND(F12-F36,2)</f>
        <v>0</v>
      </c>
      <c r="G38" s="82" t="n">
        <f aca="false">ROUND(G12-G36,2)</f>
        <v>0</v>
      </c>
      <c r="H38" s="82" t="n">
        <f aca="false">ROUND(H12-H36,2)</f>
        <v>0</v>
      </c>
      <c r="I38" s="82" t="n">
        <f aca="false">ROUND(I12-I36,2)</f>
        <v>0</v>
      </c>
      <c r="J38" s="82" t="n">
        <f aca="false">ROUND(J12-J36,2)</f>
        <v>0</v>
      </c>
      <c r="K38" s="82" t="n">
        <f aca="false">ROUND(K12-K36,2)</f>
        <v>0</v>
      </c>
      <c r="L38" s="82" t="n">
        <f aca="false">ROUND(L12-L36,2)</f>
        <v>0</v>
      </c>
      <c r="M38" s="82" t="n">
        <f aca="false">ROUND(M12-M36,2)</f>
        <v>0</v>
      </c>
      <c r="N38" s="82" t="n">
        <f aca="false">ROUND(N12-N36,2)</f>
        <v>0</v>
      </c>
      <c r="O38" s="82" t="n">
        <f aca="false">ROUND(O12-O36,2)</f>
        <v>0</v>
      </c>
      <c r="P38" s="82" t="n">
        <f aca="false">ROUND(P12-P36,2)</f>
        <v>0</v>
      </c>
      <c r="Q38" s="82" t="n">
        <f aca="false">ROUND(Q12-Q36,2)</f>
        <v>0</v>
      </c>
      <c r="R38" s="82" t="n">
        <f aca="false">ROUND(R12-R36,2)</f>
        <v>0</v>
      </c>
      <c r="S38" s="82" t="n">
        <f aca="false">ROUND(S12-S36,2)</f>
        <v>0</v>
      </c>
    </row>
    <row r="39" customFormat="false" ht="15" hidden="false" customHeight="true" outlineLevel="0" collapsed="false"/>
    <row r="40" customFormat="false" ht="15" hidden="false" customHeight="true" outlineLevel="0" collapsed="false">
      <c r="A40" s="54" t="s">
        <v>716</v>
      </c>
    </row>
    <row r="41" customFormat="false" ht="15" hidden="false" customHeight="true" outlineLevel="0" collapsed="false">
      <c r="A41" s="1" t="s">
        <v>717</v>
      </c>
      <c r="C41" s="1" t="str">
        <f aca="false">IF(ABS(7_Debt!C10-7_Debt!B14)&lt;1,"PASS","FAIL")</f>
        <v>PASS</v>
      </c>
      <c r="D41" s="1" t="str">
        <f aca="false">IF(ABS(7_Debt!D10-7_Debt!C14)&lt;1,"PASS","FAIL")</f>
        <v>PASS</v>
      </c>
      <c r="E41" s="1" t="str">
        <f aca="false">IF(ABS(7_Debt!E10-7_Debt!D14)&lt;1,"PASS","FAIL")</f>
        <v>PASS</v>
      </c>
      <c r="F41" s="1" t="str">
        <f aca="false">IF(ABS(7_Debt!F10-7_Debt!E14)&lt;1,"PASS","FAIL")</f>
        <v>PASS</v>
      </c>
      <c r="G41" s="1" t="str">
        <f aca="false">IF(ABS(7_Debt!G10-7_Debt!F14)&lt;1,"PASS","FAIL")</f>
        <v>PASS</v>
      </c>
      <c r="H41" s="1" t="str">
        <f aca="false">IF(ABS(7_Debt!H10-7_Debt!G14)&lt;1,"PASS","FAIL")</f>
        <v>PASS</v>
      </c>
      <c r="I41" s="1" t="str">
        <f aca="false">IF(ABS(7_Debt!I10-7_Debt!H14)&lt;1,"PASS","FAIL")</f>
        <v>PASS</v>
      </c>
      <c r="J41" s="1" t="str">
        <f aca="false">IF(ABS(7_Debt!J10-7_Debt!I14)&lt;1,"PASS","FAIL")</f>
        <v>PASS</v>
      </c>
      <c r="K41" s="1" t="str">
        <f aca="false">IF(ABS(7_Debt!K10-7_Debt!J14)&lt;1,"PASS","FAIL")</f>
        <v>PASS</v>
      </c>
      <c r="L41" s="1" t="str">
        <f aca="false">IF(ABS(7_Debt!L10-7_Debt!K14)&lt;1,"PASS","FAIL")</f>
        <v>PASS</v>
      </c>
      <c r="M41" s="1" t="str">
        <f aca="false">IF(ABS(7_Debt!M10-7_Debt!L14)&lt;1,"PASS","FAIL")</f>
        <v>PASS</v>
      </c>
      <c r="N41" s="1" t="str">
        <f aca="false">IF(ABS(7_Debt!N10-7_Debt!M14)&lt;1,"PASS","FAIL")</f>
        <v>PASS</v>
      </c>
      <c r="O41" s="1" t="str">
        <f aca="false">IF(ABS(7_Debt!O10-7_Debt!N14)&lt;1,"PASS","FAIL")</f>
        <v>PASS</v>
      </c>
      <c r="P41" s="1" t="str">
        <f aca="false">IF(ABS(7_Debt!P10-7_Debt!O14)&lt;1,"PASS","FAIL")</f>
        <v>PASS</v>
      </c>
      <c r="Q41" s="1" t="str">
        <f aca="false">IF(ABS(7_Debt!Q10-7_Debt!P14)&lt;1,"PASS","FAIL")</f>
        <v>PASS</v>
      </c>
      <c r="R41" s="1" t="str">
        <f aca="false">IF(ABS(7_Debt!R10-7_Debt!Q14)&lt;1,"PASS","FAIL")</f>
        <v>PASS</v>
      </c>
      <c r="S41" s="1" t="str">
        <f aca="false">IF(ABS(7_Debt!S10-7_Debt!R14)&lt;1,"PASS","FAIL")</f>
        <v>PASS</v>
      </c>
    </row>
    <row r="42" customFormat="false" ht="15" hidden="false" customHeight="true" outlineLevel="0" collapsed="false">
      <c r="A42" s="1" t="s">
        <v>718</v>
      </c>
      <c r="C42" s="1" t="str">
        <f aca="false">IF(7_Debt!C7&gt;=0,IF(7_Debt!C14&gt;=0,IF(7_Debt!C19&gt;=0,"PASS","FAIL"),"FAIL"),"FAIL")</f>
        <v>PASS</v>
      </c>
      <c r="D42" s="1" t="str">
        <f aca="false">IF(7_Debt!D7&gt;=0,IF(7_Debt!D14&gt;=0,IF(7_Debt!D19&gt;=0,"PASS","FAIL"),"FAIL"),"FAIL")</f>
        <v>PASS</v>
      </c>
      <c r="E42" s="1" t="str">
        <f aca="false">IF(7_Debt!E7&gt;=0,IF(7_Debt!E14&gt;=0,IF(7_Debt!E19&gt;=0,"PASS","FAIL"),"FAIL"),"FAIL")</f>
        <v>PASS</v>
      </c>
      <c r="F42" s="1" t="str">
        <f aca="false">IF(7_Debt!F7&gt;=0,IF(7_Debt!F14&gt;=0,IF(7_Debt!F19&gt;=0,"PASS","FAIL"),"FAIL"),"FAIL")</f>
        <v>PASS</v>
      </c>
      <c r="G42" s="1" t="str">
        <f aca="false">IF(7_Debt!G7&gt;=0,IF(7_Debt!G14&gt;=0,IF(7_Debt!G19&gt;=0,"PASS","FAIL"),"FAIL"),"FAIL")</f>
        <v>PASS</v>
      </c>
      <c r="H42" s="1" t="str">
        <f aca="false">IF(7_Debt!H7&gt;=0,IF(7_Debt!H14&gt;=0,IF(7_Debt!H19&gt;=0,"PASS","FAIL"),"FAIL"),"FAIL")</f>
        <v>PASS</v>
      </c>
      <c r="I42" s="1" t="str">
        <f aca="false">IF(7_Debt!I7&gt;=0,IF(7_Debt!I14&gt;=0,IF(7_Debt!I19&gt;=0,"PASS","FAIL"),"FAIL"),"FAIL")</f>
        <v>PASS</v>
      </c>
      <c r="J42" s="1" t="str">
        <f aca="false">IF(7_Debt!J7&gt;=0,IF(7_Debt!J14&gt;=0,IF(7_Debt!J19&gt;=0,"PASS","FAIL"),"FAIL"),"FAIL")</f>
        <v>PASS</v>
      </c>
      <c r="K42" s="1" t="str">
        <f aca="false">IF(7_Debt!K7&gt;=0,IF(7_Debt!K14&gt;=0,IF(7_Debt!K19&gt;=0,"PASS","FAIL"),"FAIL"),"FAIL")</f>
        <v>PASS</v>
      </c>
      <c r="L42" s="1" t="str">
        <f aca="false">IF(7_Debt!L7&gt;=0,IF(7_Debt!L14&gt;=0,IF(7_Debt!L19&gt;=0,"PASS","FAIL"),"FAIL"),"FAIL")</f>
        <v>PASS</v>
      </c>
      <c r="M42" s="1" t="str">
        <f aca="false">IF(7_Debt!M7&gt;=0,IF(7_Debt!M14&gt;=0,IF(7_Debt!M19&gt;=0,"PASS","FAIL"),"FAIL"),"FAIL")</f>
        <v>PASS</v>
      </c>
      <c r="N42" s="1" t="str">
        <f aca="false">IF(7_Debt!N7&gt;=0,IF(7_Debt!N14&gt;=0,IF(7_Debt!N19&gt;=0,"PASS","FAIL"),"FAIL"),"FAIL")</f>
        <v>PASS</v>
      </c>
      <c r="O42" s="1" t="str">
        <f aca="false">IF(7_Debt!O7&gt;=0,IF(7_Debt!O14&gt;=0,IF(7_Debt!O19&gt;=0,"PASS","FAIL"),"FAIL"),"FAIL")</f>
        <v>PASS</v>
      </c>
      <c r="P42" s="1" t="str">
        <f aca="false">IF(7_Debt!P7&gt;=0,IF(7_Debt!P14&gt;=0,IF(7_Debt!P19&gt;=0,"PASS","FAIL"),"FAIL"),"FAIL")</f>
        <v>PASS</v>
      </c>
      <c r="Q42" s="1" t="str">
        <f aca="false">IF(7_Debt!Q7&gt;=0,IF(7_Debt!Q14&gt;=0,IF(7_Debt!Q19&gt;=0,"PASS","FAIL"),"FAIL"),"FAIL")</f>
        <v>PASS</v>
      </c>
      <c r="R42" s="1" t="str">
        <f aca="false">IF(7_Debt!R7&gt;=0,IF(7_Debt!R14&gt;=0,IF(7_Debt!R19&gt;=0,"PASS","FAIL"),"FAIL"),"FAIL")</f>
        <v>PASS</v>
      </c>
      <c r="S42" s="1" t="str">
        <f aca="false">IF(7_Debt!S7&gt;=0,IF(7_Debt!S14&gt;=0,IF(7_Debt!S19&gt;=0,"PASS","FAIL"),"FAIL"),"FAIL")</f>
        <v>PASS</v>
      </c>
    </row>
    <row r="43" customFormat="false" ht="15" hidden="false" customHeight="true" outlineLevel="0" collapsed="false">
      <c r="A43" s="1" t="s">
        <v>719</v>
      </c>
      <c r="C43" s="1" t="str">
        <f aca="false">IF(PRAIRIES_TREATMENT="AMORTIZE",IF(1&gt;=PRAIRIES_START_MONTH,IF(ABS(C18-B18)&lt;1,"FROZEN ✓","NOT FROZEN ✗"),IF(C18&gt;B18,"ACCRUING ✓","FLAT ✗")),"N/A (non-amortize)")</f>
        <v>ACCRUING ✓</v>
      </c>
      <c r="D43" s="1" t="str">
        <f aca="false">IF(PRAIRIES_TREATMENT="AMORTIZE",IF(2&gt;=PRAIRIES_START_MONTH,IF(ABS(D18-C18)&lt;1,"FROZEN ✓","NOT FROZEN ✗"),IF(D18&gt;C18,"ACCRUING ✓","FLAT ✗")),"N/A (non-amortize)")</f>
        <v>ACCRUING ✓</v>
      </c>
      <c r="E43" s="1" t="str">
        <f aca="false">IF(PRAIRIES_TREATMENT="AMORTIZE",IF(3&gt;=PRAIRIES_START_MONTH,IF(ABS(E18-D18)&lt;1,"FROZEN ✓","NOT FROZEN ✗"),IF(E18&gt;D18,"ACCRUING ✓","FLAT ✗")),"N/A (non-amortize)")</f>
        <v>ACCRUING ✓</v>
      </c>
      <c r="F43" s="1" t="str">
        <f aca="false">IF(PRAIRIES_TREATMENT="AMORTIZE",IF(4&gt;=PRAIRIES_START_MONTH,IF(ABS(F18-E18)&lt;1,"FROZEN ✓","NOT FROZEN ✗"),IF(F18&gt;E18,"ACCRUING ✓","FLAT ✗")),"N/A (non-amortize)")</f>
        <v>ACCRUING ✓</v>
      </c>
      <c r="G43" s="1" t="str">
        <f aca="false">IF(PRAIRIES_TREATMENT="AMORTIZE",IF(5&gt;=PRAIRIES_START_MONTH,IF(ABS(G18-F18)&lt;1,"FROZEN ✓","NOT FROZEN ✗"),IF(G18&gt;F18,"ACCRUING ✓","FLAT ✗")),"N/A (non-amortize)")</f>
        <v>ACCRUING ✓</v>
      </c>
      <c r="H43" s="1" t="str">
        <f aca="false">IF(PRAIRIES_TREATMENT="AMORTIZE",IF(6&gt;=PRAIRIES_START_MONTH,IF(ABS(H18-G18)&lt;1,"FROZEN ✓","NOT FROZEN ✗"),IF(H18&gt;G18,"ACCRUING ✓","FLAT ✗")),"N/A (non-amortize)")</f>
        <v>ACCRUING ✓</v>
      </c>
      <c r="I43" s="1" t="str">
        <f aca="false">IF(PRAIRIES_TREATMENT="AMORTIZE",IF(7&gt;=PRAIRIES_START_MONTH,IF(ABS(I18-H18)&lt;1,"FROZEN ✓","NOT FROZEN ✗"),IF(I18&gt;H18,"ACCRUING ✓","FLAT ✗")),"N/A (non-amortize)")</f>
        <v>ACCRUING ✓</v>
      </c>
      <c r="J43" s="1" t="str">
        <f aca="false">IF(PRAIRIES_TREATMENT="AMORTIZE",IF(8&gt;=PRAIRIES_START_MONTH,IF(ABS(J18-I18)&lt;1,"FROZEN ✓","NOT FROZEN ✗"),IF(J18&gt;I18,"ACCRUING ✓","FLAT ✗")),"N/A (non-amortize)")</f>
        <v>ACCRUING ✓</v>
      </c>
      <c r="K43" s="1" t="str">
        <f aca="false">IF(PRAIRIES_TREATMENT="AMORTIZE",IF(9&gt;=PRAIRIES_START_MONTH,IF(ABS(K18-J18)&lt;1,"FROZEN ✓","NOT FROZEN ✗"),IF(K18&gt;J18,"ACCRUING ✓","FLAT ✗")),"N/A (non-amortize)")</f>
        <v>ACCRUING ✓</v>
      </c>
      <c r="L43" s="1" t="str">
        <f aca="false">IF(PRAIRIES_TREATMENT="AMORTIZE",IF(10&gt;=PRAIRIES_START_MONTH,IF(ABS(L18-K18)&lt;1,"FROZEN ✓","NOT FROZEN ✗"),IF(L18&gt;K18,"ACCRUING ✓","FLAT ✗")),"N/A (non-amortize)")</f>
        <v>ACCRUING ✓</v>
      </c>
      <c r="M43" s="1" t="str">
        <f aca="false">IF(PRAIRIES_TREATMENT="AMORTIZE",IF(11&gt;=PRAIRIES_START_MONTH,IF(ABS(M18-L18)&lt;1,"FROZEN ✓","NOT FROZEN ✗"),IF(M18&gt;L18,"ACCRUING ✓","FLAT ✗")),"N/A (non-amortize)")</f>
        <v>ACCRUING ✓</v>
      </c>
      <c r="N43" s="1" t="str">
        <f aca="false">IF(PRAIRIES_TREATMENT="AMORTIZE",IF(12&gt;=PRAIRIES_START_MONTH,IF(ABS(N18-M18)&lt;1,"FROZEN ✓","NOT FROZEN ✗"),IF(N18&gt;M18,"ACCRUING ✓","FLAT ✗")),"N/A (non-amortize)")</f>
        <v>FROZEN ✓</v>
      </c>
      <c r="O43" s="1" t="str">
        <f aca="false">IF(PRAIRIES_TREATMENT="AMORTIZE",IF(13&gt;=PRAIRIES_START_MONTH,IF(ABS(O18-N18)&lt;1,"FROZEN ✓","NOT FROZEN ✗"),IF(O18&gt;N18,"ACCRUING ✓","FLAT ✗")),"N/A (non-amortize)")</f>
        <v>FROZEN ✓</v>
      </c>
      <c r="P43" s="1" t="str">
        <f aca="false">IF(PRAIRIES_TREATMENT="AMORTIZE",IF(14&gt;=PRAIRIES_START_MONTH,IF(ABS(P18-O18)&lt;1,"FROZEN ✓","NOT FROZEN ✗"),IF(P18&gt;O18,"ACCRUING ✓","FLAT ✗")),"N/A (non-amortize)")</f>
        <v>FROZEN ✓</v>
      </c>
      <c r="Q43" s="1" t="str">
        <f aca="false">IF(PRAIRIES_TREATMENT="AMORTIZE",IF(15&gt;=PRAIRIES_START_MONTH,IF(ABS(Q18-P18)&lt;1,"FROZEN ✓","NOT FROZEN ✗"),IF(Q18&gt;P18,"ACCRUING ✓","FLAT ✗")),"N/A (non-amortize)")</f>
        <v>FROZEN ✓</v>
      </c>
      <c r="R43" s="1" t="str">
        <f aca="false">IF(PRAIRIES_TREATMENT="AMORTIZE",IF(16&gt;=PRAIRIES_START_MONTH,IF(ABS(R18-Q18)&lt;1,"FROZEN ✓","NOT FROZEN ✗"),IF(R18&gt;Q18,"ACCRUING ✓","FLAT ✗")),"N/A (non-amortize)")</f>
        <v>FROZEN ✓</v>
      </c>
      <c r="S43" s="1" t="str">
        <f aca="false">IF(PRAIRIES_TREATMENT="AMORTIZE",IF(17&gt;=PRAIRIES_START_MONTH,IF(ABS(S18-R18)&lt;1,"FROZEN ✓","NOT FROZEN ✗"),IF(S18&gt;R18,"ACCRUING ✓","FLAT ✗")),"N/A (non-amortize)")</f>
        <v>FROZEN ✓</v>
      </c>
    </row>
    <row r="44" customFormat="false" ht="15" hidden="false" customHeight="true" outlineLevel="0" collapsed="false">
      <c r="A44" s="1" t="s">
        <v>720</v>
      </c>
      <c r="C44" s="1" t="str">
        <f aca="false">IF(1&gt;=CAP_ARRIVAL,IF(ABS(4_WC!C27)&lt;1,"CLEAR","ERROR"),"PENDING")</f>
        <v>PENDING</v>
      </c>
      <c r="D44" s="1" t="str">
        <f aca="false">IF(2&gt;=CAP_ARRIVAL,IF(ABS(4_WC!D27)&lt;1,"CLEAR","ERROR"),"PENDING")</f>
        <v>PENDING</v>
      </c>
      <c r="E44" s="1" t="str">
        <f aca="false">IF(3&gt;=CAP_ARRIVAL,IF(ABS(4_WC!E27)&lt;1,"CLEAR","ERROR"),"PENDING")</f>
        <v>PENDING</v>
      </c>
      <c r="F44" s="1" t="str">
        <f aca="false">IF(4&gt;=CAP_ARRIVAL,IF(ABS(4_WC!F27)&lt;1,"CLEAR","ERROR"),"PENDING")</f>
        <v>CLEAR</v>
      </c>
      <c r="G44" s="1" t="str">
        <f aca="false">IF(5&gt;=CAP_ARRIVAL,IF(ABS(4_WC!G27)&lt;1,"CLEAR","ERROR"),"PENDING")</f>
        <v>CLEAR</v>
      </c>
      <c r="H44" s="1" t="str">
        <f aca="false">IF(6&gt;=CAP_ARRIVAL,IF(ABS(4_WC!H27)&lt;1,"CLEAR","ERROR"),"PENDING")</f>
        <v>CLEAR</v>
      </c>
      <c r="I44" s="1" t="str">
        <f aca="false">IF(7&gt;=CAP_ARRIVAL,IF(ABS(4_WC!I27)&lt;1,"CLEAR","ERROR"),"PENDING")</f>
        <v>CLEAR</v>
      </c>
      <c r="J44" s="1" t="str">
        <f aca="false">IF(8&gt;=CAP_ARRIVAL,IF(ABS(4_WC!J27)&lt;1,"CLEAR","ERROR"),"PENDING")</f>
        <v>CLEAR</v>
      </c>
      <c r="K44" s="1" t="str">
        <f aca="false">IF(9&gt;=CAP_ARRIVAL,IF(ABS(4_WC!K27)&lt;1,"CLEAR","ERROR"),"PENDING")</f>
        <v>CLEAR</v>
      </c>
      <c r="L44" s="1" t="str">
        <f aca="false">IF(10&gt;=CAP_ARRIVAL,IF(ABS(4_WC!L27)&lt;1,"CLEAR","ERROR"),"PENDING")</f>
        <v>CLEAR</v>
      </c>
      <c r="M44" s="1" t="str">
        <f aca="false">IF(11&gt;=CAP_ARRIVAL,IF(ABS(4_WC!M27)&lt;1,"CLEAR","ERROR"),"PENDING")</f>
        <v>CLEAR</v>
      </c>
      <c r="N44" s="1" t="str">
        <f aca="false">IF(12&gt;=CAP_ARRIVAL,IF(ABS(4_WC!N27)&lt;1,"CLEAR","ERROR"),"PENDING")</f>
        <v>CLEAR</v>
      </c>
      <c r="O44" s="1" t="str">
        <f aca="false">IF(13&gt;=CAP_ARRIVAL,IF(ABS(4_WC!O27)&lt;1,"CLEAR","ERROR"),"PENDING")</f>
        <v>CLEAR</v>
      </c>
      <c r="P44" s="1" t="str">
        <f aca="false">IF(14&gt;=CAP_ARRIVAL,IF(ABS(4_WC!P27)&lt;1,"CLEAR","ERROR"),"PENDING")</f>
        <v>CLEAR</v>
      </c>
      <c r="Q44" s="1" t="str">
        <f aca="false">IF(15&gt;=CAP_ARRIVAL,IF(ABS(4_WC!Q27)&lt;1,"CLEAR","ERROR"),"PENDING")</f>
        <v>CLEAR</v>
      </c>
      <c r="R44" s="1" t="str">
        <f aca="false">IF(16&gt;=CAP_ARRIVAL,IF(ABS(4_WC!R27)&lt;1,"CLEAR","ERROR"),"PENDING")</f>
        <v>CLEAR</v>
      </c>
      <c r="S44" s="1" t="str">
        <f aca="false">IF(17&gt;=CAP_ARRIVAL,IF(ABS(4_WC!S27)&lt;1,"CLEAR","ERROR"),"PENDING")</f>
        <v>CLEAR</v>
      </c>
    </row>
    <row r="45" customFormat="false" ht="15" hidden="false" customHeight="true" outlineLevel="0" collapsed="false">
      <c r="A45" s="1" t="s">
        <v>721</v>
      </c>
      <c r="C45" s="1" t="str">
        <f aca="false">IF(1&gt;=CAP_PO2_TRIGGER+CAP_PO2_LEAD,IF(ABS(4_WC!C33)&lt;1,"CLEAR","ERROR"),"PENDING")</f>
        <v>PENDING</v>
      </c>
      <c r="D45" s="1" t="str">
        <f aca="false">IF(2&gt;=CAP_PO2_TRIGGER+CAP_PO2_LEAD,IF(ABS(4_WC!D33)&lt;1,"CLEAR","ERROR"),"PENDING")</f>
        <v>PENDING</v>
      </c>
      <c r="E45" s="1" t="str">
        <f aca="false">IF(3&gt;=CAP_PO2_TRIGGER+CAP_PO2_LEAD,IF(ABS(4_WC!E33)&lt;1,"CLEAR","ERROR"),"PENDING")</f>
        <v>PENDING</v>
      </c>
      <c r="F45" s="1" t="str">
        <f aca="false">IF(4&gt;=CAP_PO2_TRIGGER+CAP_PO2_LEAD,IF(ABS(4_WC!F33)&lt;1,"CLEAR","ERROR"),"PENDING")</f>
        <v>PENDING</v>
      </c>
      <c r="G45" s="1" t="str">
        <f aca="false">IF(5&gt;=CAP_PO2_TRIGGER+CAP_PO2_LEAD,IF(ABS(4_WC!G33)&lt;1,"CLEAR","ERROR"),"PENDING")</f>
        <v>PENDING</v>
      </c>
      <c r="H45" s="1" t="str">
        <f aca="false">IF(6&gt;=CAP_PO2_TRIGGER+CAP_PO2_LEAD,IF(ABS(4_WC!H33)&lt;1,"CLEAR","ERROR"),"PENDING")</f>
        <v>PENDING</v>
      </c>
      <c r="I45" s="1" t="str">
        <f aca="false">IF(7&gt;=CAP_PO2_TRIGGER+CAP_PO2_LEAD,IF(ABS(4_WC!I33)&lt;1,"CLEAR","ERROR"),"PENDING")</f>
        <v>PENDING</v>
      </c>
      <c r="J45" s="1" t="str">
        <f aca="false">IF(8&gt;=CAP_PO2_TRIGGER+CAP_PO2_LEAD,IF(ABS(4_WC!J33)&lt;1,"CLEAR","ERROR"),"PENDING")</f>
        <v>PENDING</v>
      </c>
      <c r="K45" s="1" t="str">
        <f aca="false">IF(9&gt;=CAP_PO2_TRIGGER+CAP_PO2_LEAD,IF(ABS(4_WC!K33)&lt;1,"CLEAR","ERROR"),"PENDING")</f>
        <v>CLEAR</v>
      </c>
      <c r="L45" s="1" t="str">
        <f aca="false">IF(10&gt;=CAP_PO2_TRIGGER+CAP_PO2_LEAD,IF(ABS(4_WC!L33)&lt;1,"CLEAR","ERROR"),"PENDING")</f>
        <v>CLEAR</v>
      </c>
      <c r="M45" s="1" t="str">
        <f aca="false">IF(11&gt;=CAP_PO2_TRIGGER+CAP_PO2_LEAD,IF(ABS(4_WC!M33)&lt;1,"CLEAR","ERROR"),"PENDING")</f>
        <v>CLEAR</v>
      </c>
      <c r="N45" s="1" t="str">
        <f aca="false">IF(12&gt;=CAP_PO2_TRIGGER+CAP_PO2_LEAD,IF(ABS(4_WC!N33)&lt;1,"CLEAR","ERROR"),"PENDING")</f>
        <v>CLEAR</v>
      </c>
      <c r="O45" s="1" t="str">
        <f aca="false">IF(13&gt;=CAP_PO2_TRIGGER+CAP_PO2_LEAD,IF(ABS(4_WC!O33)&lt;1,"CLEAR","ERROR"),"PENDING")</f>
        <v>CLEAR</v>
      </c>
      <c r="P45" s="1" t="str">
        <f aca="false">IF(14&gt;=CAP_PO2_TRIGGER+CAP_PO2_LEAD,IF(ABS(4_WC!P33)&lt;1,"CLEAR","ERROR"),"PENDING")</f>
        <v>CLEAR</v>
      </c>
      <c r="Q45" s="1" t="str">
        <f aca="false">IF(15&gt;=CAP_PO2_TRIGGER+CAP_PO2_LEAD,IF(ABS(4_WC!Q33)&lt;1,"CLEAR","ERROR"),"PENDING")</f>
        <v>CLEAR</v>
      </c>
      <c r="R45" s="1" t="str">
        <f aca="false">IF(16&gt;=CAP_PO2_TRIGGER+CAP_PO2_LEAD,IF(ABS(4_WC!R33)&lt;1,"CLEAR","ERROR"),"PENDING")</f>
        <v>CLEAR</v>
      </c>
      <c r="S45" s="1" t="str">
        <f aca="false">IF(17&gt;=CAP_PO2_TRIGGER+CAP_PO2_LEAD,IF(ABS(4_WC!S33)&lt;1,"CLEAR","ERROR"),"PENDING")</f>
        <v>CLEAR</v>
      </c>
    </row>
    <row r="46" customFormat="false" ht="15" hidden="false" customHeight="true" outlineLevel="0" collapsed="false"/>
    <row r="47" customFormat="false" ht="15" hidden="false" customHeight="true" outlineLevel="0" collapsed="false">
      <c r="A47" s="64" t="s">
        <v>722</v>
      </c>
    </row>
    <row r="48" customFormat="false" ht="15" hidden="false" customHeight="true" outlineLevel="0" collapsed="false">
      <c r="A48" s="65" t="s">
        <v>723</v>
      </c>
      <c r="B48" s="65"/>
      <c r="C48" s="1" t="str">
        <f aca="false">IF(2_Revenue!C11+2_Revenue!C20&lt;=4_WC!B14+4_WC!C12+0.01,"PASS","FAIL")</f>
        <v>PASS</v>
      </c>
      <c r="D48" s="1" t="str">
        <f aca="false">IF(2_Revenue!D11+2_Revenue!D20&lt;=4_WC!C14+4_WC!D12+0.01,"PASS","FAIL")</f>
        <v>PASS</v>
      </c>
      <c r="E48" s="1" t="str">
        <f aca="false">IF(2_Revenue!E11+2_Revenue!E20&lt;=4_WC!D14+4_WC!E12+0.01,"PASS","FAIL")</f>
        <v>PASS</v>
      </c>
      <c r="F48" s="1" t="str">
        <f aca="false">IF(2_Revenue!F11+2_Revenue!F20&lt;=4_WC!E14+4_WC!F12+0.01,"PASS","FAIL")</f>
        <v>PASS</v>
      </c>
      <c r="G48" s="1" t="str">
        <f aca="false">IF(2_Revenue!G11+2_Revenue!G20&lt;=4_WC!F14+4_WC!G12+0.01,"PASS","FAIL")</f>
        <v>PASS</v>
      </c>
      <c r="H48" s="1" t="str">
        <f aca="false">IF(2_Revenue!H11+2_Revenue!H20&lt;=4_WC!G14+4_WC!H12+0.01,"PASS","FAIL")</f>
        <v>PASS</v>
      </c>
      <c r="I48" s="1" t="str">
        <f aca="false">IF(2_Revenue!I11+2_Revenue!I20&lt;=4_WC!H14+4_WC!I12+0.01,"PASS","FAIL")</f>
        <v>PASS</v>
      </c>
      <c r="J48" s="1" t="str">
        <f aca="false">IF(2_Revenue!J11+2_Revenue!J20&lt;=4_WC!I14+4_WC!J12+0.01,"PASS","FAIL")</f>
        <v>PASS</v>
      </c>
      <c r="K48" s="1" t="str">
        <f aca="false">IF(2_Revenue!K11+2_Revenue!K20&lt;=4_WC!J14+4_WC!K12+0.01,"PASS","FAIL")</f>
        <v>PASS</v>
      </c>
      <c r="L48" s="1" t="str">
        <f aca="false">IF(2_Revenue!L11+2_Revenue!L20&lt;=4_WC!K14+4_WC!L12+0.01,"PASS","FAIL")</f>
        <v>PASS</v>
      </c>
      <c r="M48" s="1" t="str">
        <f aca="false">IF(2_Revenue!M11+2_Revenue!M20&lt;=4_WC!L14+4_WC!M12+0.01,"PASS","FAIL")</f>
        <v>PASS</v>
      </c>
      <c r="N48" s="1" t="str">
        <f aca="false">IF(2_Revenue!N11+2_Revenue!N20&lt;=4_WC!M14+4_WC!N12+0.01,"PASS","FAIL")</f>
        <v>PASS</v>
      </c>
      <c r="O48" s="1" t="str">
        <f aca="false">IF(2_Revenue!O11+2_Revenue!O20&lt;=4_WC!N14+4_WC!O12+0.01,"PASS","FAIL")</f>
        <v>PASS</v>
      </c>
      <c r="P48" s="1" t="str">
        <f aca="false">IF(2_Revenue!P11+2_Revenue!P20&lt;=4_WC!O14+4_WC!P12+0.01,"PASS","FAIL")</f>
        <v>PASS</v>
      </c>
      <c r="Q48" s="1" t="str">
        <f aca="false">IF(2_Revenue!Q11+2_Revenue!Q20&lt;=4_WC!P14+4_WC!Q12+0.01,"PASS","FAIL")</f>
        <v>PASS</v>
      </c>
      <c r="R48" s="1" t="str">
        <f aca="false">IF(2_Revenue!R11+2_Revenue!R20&lt;=4_WC!Q14+4_WC!R12+0.01,"PASS","FAIL")</f>
        <v>PASS</v>
      </c>
      <c r="S48" s="1" t="str">
        <f aca="false">IF(2_Revenue!S11+2_Revenue!S20&lt;=4_WC!R14+4_WC!S12+0.01,"PASS","FAIL")</f>
        <v>PASS</v>
      </c>
    </row>
    <row r="49" customFormat="false" ht="15" hidden="false" customHeight="true" outlineLevel="0" collapsed="false">
      <c r="A49" s="1" t="s">
        <v>724</v>
      </c>
      <c r="C49" s="1" t="str">
        <f aca="false">IF(DTC_ENABLED+SAAS_ENABLED=0,IF(ABS(2_Revenue!C31-2_Revenue!C16)&lt;1,"PASS","FAIL"),"N/A (active)")</f>
        <v>PASS</v>
      </c>
      <c r="D49" s="1" t="str">
        <f aca="false">IF(DTC_ENABLED+SAAS_ENABLED=0,IF(ABS(2_Revenue!D31-2_Revenue!D16)&lt;1,"PASS","FAIL"),"N/A (active)")</f>
        <v>PASS</v>
      </c>
      <c r="E49" s="1" t="str">
        <f aca="false">IF(DTC_ENABLED+SAAS_ENABLED=0,IF(ABS(2_Revenue!E31-2_Revenue!E16)&lt;1,"PASS","FAIL"),"N/A (active)")</f>
        <v>PASS</v>
      </c>
      <c r="F49" s="1" t="str">
        <f aca="false">IF(DTC_ENABLED+SAAS_ENABLED=0,IF(ABS(2_Revenue!F31-2_Revenue!F16)&lt;1,"PASS","FAIL"),"N/A (active)")</f>
        <v>PASS</v>
      </c>
      <c r="G49" s="1" t="str">
        <f aca="false">IF(DTC_ENABLED+SAAS_ENABLED=0,IF(ABS(2_Revenue!G31-2_Revenue!G16)&lt;1,"PASS","FAIL"),"N/A (active)")</f>
        <v>PASS</v>
      </c>
      <c r="H49" s="1" t="str">
        <f aca="false">IF(DTC_ENABLED+SAAS_ENABLED=0,IF(ABS(2_Revenue!H31-2_Revenue!H16)&lt;1,"PASS","FAIL"),"N/A (active)")</f>
        <v>PASS</v>
      </c>
      <c r="I49" s="1" t="str">
        <f aca="false">IF(DTC_ENABLED+SAAS_ENABLED=0,IF(ABS(2_Revenue!I31-2_Revenue!I16)&lt;1,"PASS","FAIL"),"N/A (active)")</f>
        <v>PASS</v>
      </c>
      <c r="J49" s="1" t="str">
        <f aca="false">IF(DTC_ENABLED+SAAS_ENABLED=0,IF(ABS(2_Revenue!J31-2_Revenue!J16)&lt;1,"PASS","FAIL"),"N/A (active)")</f>
        <v>PASS</v>
      </c>
      <c r="K49" s="1" t="str">
        <f aca="false">IF(DTC_ENABLED+SAAS_ENABLED=0,IF(ABS(2_Revenue!K31-2_Revenue!K16)&lt;1,"PASS","FAIL"),"N/A (active)")</f>
        <v>PASS</v>
      </c>
      <c r="L49" s="1" t="str">
        <f aca="false">IF(DTC_ENABLED+SAAS_ENABLED=0,IF(ABS(2_Revenue!L31-2_Revenue!L16)&lt;1,"PASS","FAIL"),"N/A (active)")</f>
        <v>PASS</v>
      </c>
      <c r="M49" s="1" t="str">
        <f aca="false">IF(DTC_ENABLED+SAAS_ENABLED=0,IF(ABS(2_Revenue!M31-2_Revenue!M16)&lt;1,"PASS","FAIL"),"N/A (active)")</f>
        <v>PASS</v>
      </c>
      <c r="N49" s="1" t="str">
        <f aca="false">IF(DTC_ENABLED+SAAS_ENABLED=0,IF(ABS(2_Revenue!N31-2_Revenue!N16)&lt;1,"PASS","FAIL"),"N/A (active)")</f>
        <v>PASS</v>
      </c>
      <c r="O49" s="1" t="str">
        <f aca="false">IF(DTC_ENABLED+SAAS_ENABLED=0,IF(ABS(2_Revenue!O31-2_Revenue!O16)&lt;1,"PASS","FAIL"),"N/A (active)")</f>
        <v>PASS</v>
      </c>
      <c r="P49" s="1" t="str">
        <f aca="false">IF(DTC_ENABLED+SAAS_ENABLED=0,IF(ABS(2_Revenue!P31-2_Revenue!P16)&lt;1,"PASS","FAIL"),"N/A (active)")</f>
        <v>PASS</v>
      </c>
      <c r="Q49" s="1" t="str">
        <f aca="false">IF(DTC_ENABLED+SAAS_ENABLED=0,IF(ABS(2_Revenue!Q31-2_Revenue!Q16)&lt;1,"PASS","FAIL"),"N/A (active)")</f>
        <v>PASS</v>
      </c>
      <c r="R49" s="1" t="str">
        <f aca="false">IF(DTC_ENABLED+SAAS_ENABLED=0,IF(ABS(2_Revenue!R31-2_Revenue!R16)&lt;1,"PASS","FAIL"),"N/A (active)")</f>
        <v>PASS</v>
      </c>
      <c r="S49" s="1" t="str">
        <f aca="false">IF(DTC_ENABLED+SAAS_ENABLED=0,IF(ABS(2_Revenue!S31-2_Revenue!S16)&lt;1,"PASS","FAIL"),"N/A (active)")</f>
        <v>PASS</v>
      </c>
    </row>
    <row r="50" customFormat="false" ht="15" hidden="false" customHeight="true" outlineLevel="0" collapsed="false">
      <c r="A50" s="1" t="s">
        <v>725</v>
      </c>
      <c r="C50" s="1" t="str">
        <f aca="false">IF(DTC_ENABLED+SAAS_ENABLED=0,IF(ABS(2_Revenue!C32-2_Revenue!C17)&lt;1,"PASS","FAIL"),"N/A (active)")</f>
        <v>PASS</v>
      </c>
      <c r="D50" s="1" t="str">
        <f aca="false">IF(DTC_ENABLED+SAAS_ENABLED=0,IF(ABS(2_Revenue!D32-2_Revenue!D17)&lt;1,"PASS","FAIL"),"N/A (active)")</f>
        <v>PASS</v>
      </c>
      <c r="E50" s="1" t="str">
        <f aca="false">IF(DTC_ENABLED+SAAS_ENABLED=0,IF(ABS(2_Revenue!E32-2_Revenue!E17)&lt;1,"PASS","FAIL"),"N/A (active)")</f>
        <v>PASS</v>
      </c>
      <c r="F50" s="1" t="str">
        <f aca="false">IF(DTC_ENABLED+SAAS_ENABLED=0,IF(ABS(2_Revenue!F32-2_Revenue!F17)&lt;1,"PASS","FAIL"),"N/A (active)")</f>
        <v>PASS</v>
      </c>
      <c r="G50" s="1" t="str">
        <f aca="false">IF(DTC_ENABLED+SAAS_ENABLED=0,IF(ABS(2_Revenue!G32-2_Revenue!G17)&lt;1,"PASS","FAIL"),"N/A (active)")</f>
        <v>PASS</v>
      </c>
      <c r="H50" s="1" t="str">
        <f aca="false">IF(DTC_ENABLED+SAAS_ENABLED=0,IF(ABS(2_Revenue!H32-2_Revenue!H17)&lt;1,"PASS","FAIL"),"N/A (active)")</f>
        <v>PASS</v>
      </c>
      <c r="I50" s="1" t="str">
        <f aca="false">IF(DTC_ENABLED+SAAS_ENABLED=0,IF(ABS(2_Revenue!I32-2_Revenue!I17)&lt;1,"PASS","FAIL"),"N/A (active)")</f>
        <v>PASS</v>
      </c>
      <c r="J50" s="1" t="str">
        <f aca="false">IF(DTC_ENABLED+SAAS_ENABLED=0,IF(ABS(2_Revenue!J32-2_Revenue!J17)&lt;1,"PASS","FAIL"),"N/A (active)")</f>
        <v>PASS</v>
      </c>
      <c r="K50" s="1" t="str">
        <f aca="false">IF(DTC_ENABLED+SAAS_ENABLED=0,IF(ABS(2_Revenue!K32-2_Revenue!K17)&lt;1,"PASS","FAIL"),"N/A (active)")</f>
        <v>PASS</v>
      </c>
      <c r="L50" s="1" t="str">
        <f aca="false">IF(DTC_ENABLED+SAAS_ENABLED=0,IF(ABS(2_Revenue!L32-2_Revenue!L17)&lt;1,"PASS","FAIL"),"N/A (active)")</f>
        <v>PASS</v>
      </c>
      <c r="M50" s="1" t="str">
        <f aca="false">IF(DTC_ENABLED+SAAS_ENABLED=0,IF(ABS(2_Revenue!M32-2_Revenue!M17)&lt;1,"PASS","FAIL"),"N/A (active)")</f>
        <v>PASS</v>
      </c>
      <c r="N50" s="1" t="str">
        <f aca="false">IF(DTC_ENABLED+SAAS_ENABLED=0,IF(ABS(2_Revenue!N32-2_Revenue!N17)&lt;1,"PASS","FAIL"),"N/A (active)")</f>
        <v>PASS</v>
      </c>
      <c r="O50" s="1" t="str">
        <f aca="false">IF(DTC_ENABLED+SAAS_ENABLED=0,IF(ABS(2_Revenue!O32-2_Revenue!O17)&lt;1,"PASS","FAIL"),"N/A (active)")</f>
        <v>PASS</v>
      </c>
      <c r="P50" s="1" t="str">
        <f aca="false">IF(DTC_ENABLED+SAAS_ENABLED=0,IF(ABS(2_Revenue!P32-2_Revenue!P17)&lt;1,"PASS","FAIL"),"N/A (active)")</f>
        <v>PASS</v>
      </c>
      <c r="Q50" s="1" t="str">
        <f aca="false">IF(DTC_ENABLED+SAAS_ENABLED=0,IF(ABS(2_Revenue!Q32-2_Revenue!Q17)&lt;1,"PASS","FAIL"),"N/A (active)")</f>
        <v>PASS</v>
      </c>
      <c r="R50" s="1" t="str">
        <f aca="false">IF(DTC_ENABLED+SAAS_ENABLED=0,IF(ABS(2_Revenue!R32-2_Revenue!R17)&lt;1,"PASS","FAIL"),"N/A (active)")</f>
        <v>PASS</v>
      </c>
      <c r="S50" s="1" t="str">
        <f aca="false">IF(DTC_ENABLED+SAAS_ENABLED=0,IF(ABS(2_Revenue!S32-2_Revenue!S17)&lt;1,"PASS","FAIL"),"N/A (active)")</f>
        <v>PASS</v>
      </c>
    </row>
    <row r="51" customFormat="false" ht="15" hidden="false" customHeight="true" outlineLevel="0" collapsed="false">
      <c r="A51" s="57" t="s">
        <v>726</v>
      </c>
      <c r="B51" s="57" t="str">
        <f aca="false">IF(ABS(B30-OB_SHARECAP-5_CF!C18)&lt;1,"PASS","FAIL")</f>
        <v>PASS</v>
      </c>
      <c r="C51" s="57" t="str">
        <f aca="false">IF(ABS(C30-B30-5_CF!C18)&lt;1,"PASS","FAIL")</f>
        <v>PASS</v>
      </c>
      <c r="D51" s="57" t="str">
        <f aca="false">IF(ABS(D30-C30-5_CF!D18)&lt;1,"PASS","FAIL")</f>
        <v>PASS</v>
      </c>
      <c r="E51" s="57" t="str">
        <f aca="false">IF(ABS(E30-D30-5_CF!E18)&lt;1,"PASS","FAIL")</f>
        <v>PASS</v>
      </c>
      <c r="F51" s="57" t="str">
        <f aca="false">IF(ABS(F30-E30-5_CF!F18)&lt;1,"PASS","FAIL")</f>
        <v>PASS</v>
      </c>
      <c r="G51" s="57" t="str">
        <f aca="false">IF(ABS(G30-F30-5_CF!G18)&lt;1,"PASS","FAIL")</f>
        <v>PASS</v>
      </c>
      <c r="H51" s="57" t="str">
        <f aca="false">IF(ABS(H30-G30-5_CF!H18)&lt;1,"PASS","FAIL")</f>
        <v>PASS</v>
      </c>
      <c r="I51" s="57" t="str">
        <f aca="false">IF(ABS(I30-H30-5_CF!I18)&lt;1,"PASS","FAIL")</f>
        <v>PASS</v>
      </c>
      <c r="J51" s="57" t="str">
        <f aca="false">IF(ABS(J30-I30-5_CF!J18)&lt;1,"PASS","FAIL")</f>
        <v>PASS</v>
      </c>
      <c r="K51" s="57" t="str">
        <f aca="false">IF(ABS(K30-J30-5_CF!K18)&lt;1,"PASS","FAIL")</f>
        <v>PASS</v>
      </c>
      <c r="L51" s="57" t="str">
        <f aca="false">IF(ABS(L30-K30-5_CF!L18)&lt;1,"PASS","FAIL")</f>
        <v>PASS</v>
      </c>
      <c r="M51" s="57" t="str">
        <f aca="false">IF(ABS(M30-L30-5_CF!M18)&lt;1,"PASS","FAIL")</f>
        <v>PASS</v>
      </c>
      <c r="N51" s="57" t="str">
        <f aca="false">IF(ABS(N30-M30-5_CF!N18)&lt;1,"PASS","FAIL")</f>
        <v>PASS</v>
      </c>
      <c r="O51" s="57" t="str">
        <f aca="false">IF(ABS(O30-N30-5_CF!O18)&lt;1,"PASS","FAIL")</f>
        <v>PASS</v>
      </c>
      <c r="P51" s="57" t="str">
        <f aca="false">IF(ABS(P30-O30-5_CF!P18)&lt;1,"PASS","FAIL")</f>
        <v>PASS</v>
      </c>
      <c r="Q51" s="57" t="str">
        <f aca="false">IF(ABS(Q30-P30-5_CF!Q18)&lt;1,"PASS","FAIL")</f>
        <v>PASS</v>
      </c>
      <c r="R51" s="57" t="str">
        <f aca="false">IF(ABS(R30-Q30-5_CF!R18)&lt;1,"PASS","FAIL")</f>
        <v>PASS</v>
      </c>
      <c r="S51" s="57" t="str">
        <f aca="false">IF(ABS(S30-R30-5_CF!S18)&lt;1,"PASS","FAIL")</f>
        <v>PASS</v>
      </c>
    </row>
    <row r="52" customFormat="false" ht="15" hidden="false" customHeight="true" outlineLevel="0" collapsed="false">
      <c r="A52" s="65" t="s">
        <v>727</v>
      </c>
      <c r="B52" s="65" t="str">
        <f aca="false">IF(ABS(B5-5_CF!B24)&lt;1,IF(ABS(C5-5_CF!C24)&lt;1,IF(ABS(D5-5_CF!D24)&lt;1,IF(ABS(E5-5_CF!E24)&lt;1,IF(ABS(F5-5_CF!F24)&lt;1,IF(ABS(G5-5_CF!G24)&lt;1,IF(ABS(H5-5_CF!H24)&lt;1,IF(ABS(I5-5_CF!I24)&lt;1,IF(ABS(J5-5_CF!J24)&lt;1,IF(ABS(K5-5_CF!K24)&lt;1,IF(ABS(L5-5_CF!L24)&lt;1,IF(ABS(M5-5_CF!M24)&lt;1,IF(ABS(N5-5_CF!N24)&lt;1,IF(ABS(O5-5_CF!O24)&lt;1,IF(ABS(P5-5_CF!P24)&lt;1,IF(ABS(Q5-5_CF!Q24)&lt;1,IF(ABS(R5-5_CF!R24)&lt;1,IF(ABS(S5-5_CF!S24)&lt;1,"ALL PASS","FAIL"),"FAIL"),"FAIL"),"FAIL"),"FAIL"),"FAIL"),"FAIL"),"FAIL"),"FAIL"),"FAIL"),"FAIL"),"FAIL"),"FAIL"),"FAIL"),"FAIL"),"FAIL"),"FAIL"),"FAIL")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0000"/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9" min="2" style="1" width="14"/>
  </cols>
  <sheetData>
    <row r="1" customFormat="false" ht="15" hidden="false" customHeight="true" outlineLevel="0" collapsed="false">
      <c r="A1" s="75" t="s">
        <v>728</v>
      </c>
    </row>
    <row r="2" customFormat="false" ht="15" hidden="false" customHeight="true" outlineLevel="0" collapsed="false">
      <c r="A2" s="76" t="s">
        <v>592</v>
      </c>
      <c r="B2" s="77" t="s">
        <v>328</v>
      </c>
      <c r="C2" s="77" t="s">
        <v>329</v>
      </c>
      <c r="D2" s="77" t="s">
        <v>330</v>
      </c>
      <c r="E2" s="77" t="s">
        <v>331</v>
      </c>
      <c r="F2" s="77" t="s">
        <v>332</v>
      </c>
      <c r="G2" s="77" t="s">
        <v>333</v>
      </c>
      <c r="H2" s="77" t="s">
        <v>334</v>
      </c>
      <c r="I2" s="77" t="s">
        <v>335</v>
      </c>
      <c r="J2" s="77" t="s">
        <v>336</v>
      </c>
      <c r="K2" s="77" t="s">
        <v>337</v>
      </c>
      <c r="L2" s="77" t="s">
        <v>338</v>
      </c>
      <c r="M2" s="77" t="s">
        <v>339</v>
      </c>
      <c r="N2" s="77" t="s">
        <v>340</v>
      </c>
      <c r="O2" s="77" t="s">
        <v>341</v>
      </c>
      <c r="P2" s="77" t="s">
        <v>342</v>
      </c>
      <c r="Q2" s="77" t="s">
        <v>343</v>
      </c>
      <c r="R2" s="77" t="s">
        <v>344</v>
      </c>
      <c r="S2" s="77" t="s">
        <v>345</v>
      </c>
    </row>
    <row r="4" customFormat="false" ht="15" hidden="false" customHeight="true" outlineLevel="0" collapsed="false">
      <c r="A4" s="1" t="s">
        <v>729</v>
      </c>
      <c r="B4" s="81" t="n">
        <f aca="false">OB_BDC</f>
        <v>210686</v>
      </c>
      <c r="C4" s="82" t="n">
        <f aca="false">B7</f>
        <v>210686</v>
      </c>
      <c r="D4" s="82" t="n">
        <f aca="false">C7</f>
        <v>205738.281083333</v>
      </c>
      <c r="E4" s="82" t="n">
        <f aca="false">D7</f>
        <v>200747.063471191</v>
      </c>
      <c r="F4" s="82" t="n">
        <f aca="false">E7</f>
        <v>195711.964737542</v>
      </c>
      <c r="G4" s="82" t="n">
        <f aca="false">F7</f>
        <v>190632.599094193</v>
      </c>
      <c r="H4" s="82" t="n">
        <f aca="false">G7</f>
        <v>185508.577361229</v>
      </c>
      <c r="I4" s="82" t="n">
        <f aca="false">H7</f>
        <v>180339.506937197</v>
      </c>
      <c r="J4" s="82" t="n">
        <f aca="false">I7</f>
        <v>175124.99176902</v>
      </c>
      <c r="K4" s="82" t="n">
        <f aca="false">J7</f>
        <v>169864.632321656</v>
      </c>
      <c r="L4" s="82" t="n">
        <f aca="false">K7</f>
        <v>164558.025547483</v>
      </c>
      <c r="M4" s="82" t="n">
        <f aca="false">L7</f>
        <v>159204.764855422</v>
      </c>
      <c r="N4" s="82" t="n">
        <f aca="false">M7</f>
        <v>153804.440079776</v>
      </c>
      <c r="O4" s="82" t="n">
        <f aca="false">N7</f>
        <v>148356.63744881</v>
      </c>
      <c r="P4" s="82" t="n">
        <f aca="false">O7</f>
        <v>142860.939553048</v>
      </c>
      <c r="Q4" s="82" t="n">
        <f aca="false">P7</f>
        <v>137316.925313285</v>
      </c>
      <c r="R4" s="82" t="n">
        <f aca="false">Q7</f>
        <v>131724.169948331</v>
      </c>
      <c r="S4" s="82" t="n">
        <f aca="false">R7</f>
        <v>126082.24494246</v>
      </c>
    </row>
    <row r="5" customFormat="false" ht="15" hidden="false" customHeight="true" outlineLevel="0" collapsed="false">
      <c r="A5" s="1" t="s">
        <v>730</v>
      </c>
      <c r="B5" s="81" t="n">
        <v>0</v>
      </c>
      <c r="C5" s="82" t="n">
        <f aca="false">C4*COST_BDC_RATE/12</f>
        <v>1852.28108333333</v>
      </c>
      <c r="D5" s="82" t="n">
        <f aca="false">D4*COST_BDC_RATE/12</f>
        <v>1808.78238785764</v>
      </c>
      <c r="E5" s="82" t="n">
        <f aca="false">E4*COST_BDC_RATE/12</f>
        <v>1764.90126635089</v>
      </c>
      <c r="F5" s="82" t="n">
        <f aca="false">F4*COST_BDC_RATE/12</f>
        <v>1720.63435665089</v>
      </c>
      <c r="G5" s="82" t="n">
        <f aca="false">G4*COST_BDC_RATE/12</f>
        <v>1675.97826703644</v>
      </c>
      <c r="H5" s="82" t="n">
        <f aca="false">H4*COST_BDC_RATE/12</f>
        <v>1630.92957596747</v>
      </c>
      <c r="I5" s="82" t="n">
        <f aca="false">I4*COST_BDC_RATE/12</f>
        <v>1585.48483182285</v>
      </c>
      <c r="J5" s="82" t="n">
        <f aca="false">J4*COST_BDC_RATE/12</f>
        <v>1539.64055263596</v>
      </c>
      <c r="K5" s="82" t="n">
        <f aca="false">K4*COST_BDC_RATE/12</f>
        <v>1493.39322582789</v>
      </c>
      <c r="L5" s="82" t="n">
        <f aca="false">L4*COST_BDC_RATE/12</f>
        <v>1446.73930793829</v>
      </c>
      <c r="M5" s="82" t="n">
        <f aca="false">M4*COST_BDC_RATE/12</f>
        <v>1399.67522435392</v>
      </c>
      <c r="N5" s="82" t="n">
        <f aca="false">N4*COST_BDC_RATE/12</f>
        <v>1352.19736903469</v>
      </c>
      <c r="O5" s="82" t="n">
        <f aca="false">O4*COST_BDC_RATE/12</f>
        <v>1304.30210423746</v>
      </c>
      <c r="P5" s="82" t="n">
        <f aca="false">P4*COST_BDC_RATE/12</f>
        <v>1255.98576023721</v>
      </c>
      <c r="Q5" s="82" t="n">
        <f aca="false">Q4*COST_BDC_RATE/12</f>
        <v>1207.24463504596</v>
      </c>
      <c r="R5" s="82" t="n">
        <f aca="false">R4*COST_BDC_RATE/12</f>
        <v>1158.07499412908</v>
      </c>
      <c r="S5" s="82" t="n">
        <f aca="false">S4*COST_BDC_RATE/12</f>
        <v>1108.47307011913</v>
      </c>
    </row>
    <row r="6" customFormat="false" ht="15" hidden="false" customHeight="true" outlineLevel="0" collapsed="false">
      <c r="A6" s="1" t="s">
        <v>731</v>
      </c>
      <c r="B6" s="81" t="n">
        <v>0</v>
      </c>
      <c r="C6" s="82" t="n">
        <f aca="false">IF(BDC_STRATEGY="RETIRE",IF(1=BDC_RETIRE_MONTH,C4,IF(1&gt;BDC_RETIRE_MONTH,0,IF(C4&gt;0,COST_BDC_PMT-C5,0))),IF(C4&gt;0,COST_BDC_PMT-C5,0))</f>
        <v>4947.71891666667</v>
      </c>
      <c r="D6" s="82" t="n">
        <f aca="false">IF(BDC_STRATEGY="RETIRE",IF(2=BDC_RETIRE_MONTH,D4,IF(2&gt;BDC_RETIRE_MONTH,0,IF(D4&gt;0,COST_BDC_PMT-D5,0))),IF(D4&gt;0,COST_BDC_PMT-D5,0))</f>
        <v>4991.21761214236</v>
      </c>
      <c r="E6" s="82" t="n">
        <f aca="false">IF(BDC_STRATEGY="RETIRE",IF(3=BDC_RETIRE_MONTH,E4,IF(3&gt;BDC_RETIRE_MONTH,0,IF(E4&gt;0,COST_BDC_PMT-E5,0))),IF(E4&gt;0,COST_BDC_PMT-E5,0))</f>
        <v>5035.09873364911</v>
      </c>
      <c r="F6" s="82" t="n">
        <f aca="false">IF(BDC_STRATEGY="RETIRE",IF(4=BDC_RETIRE_MONTH,F4,IF(4&gt;BDC_RETIRE_MONTH,0,IF(F4&gt;0,COST_BDC_PMT-F5,0))),IF(F4&gt;0,COST_BDC_PMT-F5,0))</f>
        <v>5079.36564334911</v>
      </c>
      <c r="G6" s="82" t="n">
        <f aca="false">IF(BDC_STRATEGY="RETIRE",IF(5=BDC_RETIRE_MONTH,G4,IF(5&gt;BDC_RETIRE_MONTH,0,IF(G4&gt;0,COST_BDC_PMT-G5,0))),IF(G4&gt;0,COST_BDC_PMT-G5,0))</f>
        <v>5124.02173296356</v>
      </c>
      <c r="H6" s="82" t="n">
        <f aca="false">IF(BDC_STRATEGY="RETIRE",IF(6=BDC_RETIRE_MONTH,H4,IF(6&gt;BDC_RETIRE_MONTH,0,IF(H4&gt;0,COST_BDC_PMT-H5,0))),IF(H4&gt;0,COST_BDC_PMT-H5,0))</f>
        <v>5169.07042403253</v>
      </c>
      <c r="I6" s="82" t="n">
        <f aca="false">IF(BDC_STRATEGY="RETIRE",IF(7=BDC_RETIRE_MONTH,I4,IF(7&gt;BDC_RETIRE_MONTH,0,IF(I4&gt;0,COST_BDC_PMT-I5,0))),IF(I4&gt;0,COST_BDC_PMT-I5,0))</f>
        <v>5214.51516817715</v>
      </c>
      <c r="J6" s="82" t="n">
        <f aca="false">IF(BDC_STRATEGY="RETIRE",IF(8=BDC_RETIRE_MONTH,J4,IF(8&gt;BDC_RETIRE_MONTH,0,IF(J4&gt;0,COST_BDC_PMT-J5,0))),IF(J4&gt;0,COST_BDC_PMT-J5,0))</f>
        <v>5260.35944736404</v>
      </c>
      <c r="K6" s="82" t="n">
        <f aca="false">IF(BDC_STRATEGY="RETIRE",IF(9=BDC_RETIRE_MONTH,K4,IF(9&gt;BDC_RETIRE_MONTH,0,IF(K4&gt;0,COST_BDC_PMT-K5,0))),IF(K4&gt;0,COST_BDC_PMT-K5,0))</f>
        <v>5306.60677417211</v>
      </c>
      <c r="L6" s="82" t="n">
        <f aca="false">IF(BDC_STRATEGY="RETIRE",IF(10=BDC_RETIRE_MONTH,L4,IF(10&gt;BDC_RETIRE_MONTH,0,IF(L4&gt;0,COST_BDC_PMT-L5,0))),IF(L4&gt;0,COST_BDC_PMT-L5,0))</f>
        <v>5353.26069206171</v>
      </c>
      <c r="M6" s="82" t="n">
        <f aca="false">IF(BDC_STRATEGY="RETIRE",IF(11=BDC_RETIRE_MONTH,M4,IF(11&gt;BDC_RETIRE_MONTH,0,IF(M4&gt;0,COST_BDC_PMT-M5,0))),IF(M4&gt;0,COST_BDC_PMT-M5,0))</f>
        <v>5400.32477564608</v>
      </c>
      <c r="N6" s="82" t="n">
        <f aca="false">IF(BDC_STRATEGY="RETIRE",IF(12=BDC_RETIRE_MONTH,N4,IF(12&gt;BDC_RETIRE_MONTH,0,IF(N4&gt;0,COST_BDC_PMT-N5,0))),IF(N4&gt;0,COST_BDC_PMT-N5,0))</f>
        <v>5447.80263096531</v>
      </c>
      <c r="O6" s="82" t="n">
        <f aca="false">IF(BDC_STRATEGY="RETIRE",IF(13=BDC_RETIRE_MONTH,O4,IF(13&gt;BDC_RETIRE_MONTH,0,IF(O4&gt;0,COST_BDC_PMT-O5,0))),IF(O4&gt;0,COST_BDC_PMT-O5,0))</f>
        <v>5495.69789576254</v>
      </c>
      <c r="P6" s="82" t="n">
        <f aca="false">IF(BDC_STRATEGY="RETIRE",IF(14=BDC_RETIRE_MONTH,P4,IF(14&gt;BDC_RETIRE_MONTH,0,IF(P4&gt;0,COST_BDC_PMT-P5,0))),IF(P4&gt;0,COST_BDC_PMT-P5,0))</f>
        <v>5544.01423976279</v>
      </c>
      <c r="Q6" s="82" t="n">
        <f aca="false">IF(BDC_STRATEGY="RETIRE",IF(15=BDC_RETIRE_MONTH,Q4,IF(15&gt;BDC_RETIRE_MONTH,0,IF(Q4&gt;0,COST_BDC_PMT-Q5,0))),IF(Q4&gt;0,COST_BDC_PMT-Q5,0))</f>
        <v>5592.75536495404</v>
      </c>
      <c r="R6" s="82" t="n">
        <f aca="false">IF(BDC_STRATEGY="RETIRE",IF(16=BDC_RETIRE_MONTH,R4,IF(16&gt;BDC_RETIRE_MONTH,0,IF(R4&gt;0,COST_BDC_PMT-R5,0))),IF(R4&gt;0,COST_BDC_PMT-R5,0))</f>
        <v>5641.92500587092</v>
      </c>
      <c r="S6" s="82" t="n">
        <f aca="false">IF(BDC_STRATEGY="RETIRE",IF(17=BDC_RETIRE_MONTH,S4,IF(17&gt;BDC_RETIRE_MONTH,0,IF(S4&gt;0,COST_BDC_PMT-S5,0))),IF(S4&gt;0,COST_BDC_PMT-S5,0))</f>
        <v>5691.52692988087</v>
      </c>
    </row>
    <row r="7" customFormat="false" ht="15" hidden="false" customHeight="true" outlineLevel="0" collapsed="false">
      <c r="A7" s="76" t="s">
        <v>732</v>
      </c>
      <c r="B7" s="81" t="n">
        <f aca="false">OB_BDC</f>
        <v>210686</v>
      </c>
      <c r="C7" s="82" t="n">
        <f aca="false">MAX(0,C4-C6)</f>
        <v>205738.281083333</v>
      </c>
      <c r="D7" s="82" t="n">
        <f aca="false">MAX(0,D4-D6)</f>
        <v>200747.063471191</v>
      </c>
      <c r="E7" s="82" t="n">
        <f aca="false">MAX(0,E4-E6)</f>
        <v>195711.964737542</v>
      </c>
      <c r="F7" s="82" t="n">
        <f aca="false">MAX(0,F4-F6)</f>
        <v>190632.599094193</v>
      </c>
      <c r="G7" s="82" t="n">
        <f aca="false">MAX(0,G4-G6)</f>
        <v>185508.577361229</v>
      </c>
      <c r="H7" s="82" t="n">
        <f aca="false">MAX(0,H4-H6)</f>
        <v>180339.506937197</v>
      </c>
      <c r="I7" s="82" t="n">
        <f aca="false">MAX(0,I4-I6)</f>
        <v>175124.99176902</v>
      </c>
      <c r="J7" s="82" t="n">
        <f aca="false">MAX(0,J4-J6)</f>
        <v>169864.632321656</v>
      </c>
      <c r="K7" s="82" t="n">
        <f aca="false">MAX(0,K4-K6)</f>
        <v>164558.025547483</v>
      </c>
      <c r="L7" s="82" t="n">
        <f aca="false">MAX(0,L4-L6)</f>
        <v>159204.764855422</v>
      </c>
      <c r="M7" s="82" t="n">
        <f aca="false">MAX(0,M4-M6)</f>
        <v>153804.440079776</v>
      </c>
      <c r="N7" s="82" t="n">
        <f aca="false">MAX(0,N4-N6)</f>
        <v>148356.63744881</v>
      </c>
      <c r="O7" s="82" t="n">
        <f aca="false">MAX(0,O4-O6)</f>
        <v>142860.939553048</v>
      </c>
      <c r="P7" s="82" t="n">
        <f aca="false">MAX(0,P4-P6)</f>
        <v>137316.925313285</v>
      </c>
      <c r="Q7" s="82" t="n">
        <f aca="false">MAX(0,Q4-Q6)</f>
        <v>131724.169948331</v>
      </c>
      <c r="R7" s="82" t="n">
        <f aca="false">MAX(0,R4-R6)</f>
        <v>126082.24494246</v>
      </c>
      <c r="S7" s="82" t="n">
        <f aca="false">MAX(0,S4-S6)</f>
        <v>120390.718012579</v>
      </c>
    </row>
    <row r="9" customFormat="false" ht="15" hidden="false" customHeight="true" outlineLevel="0" collapsed="false">
      <c r="A9" s="54" t="s">
        <v>733</v>
      </c>
    </row>
    <row r="10" customFormat="false" ht="15" hidden="false" customHeight="true" outlineLevel="0" collapsed="false">
      <c r="A10" s="1" t="s">
        <v>734</v>
      </c>
      <c r="B10" s="82" t="n">
        <f aca="false">OB_PRAIRIES</f>
        <v>344331</v>
      </c>
      <c r="C10" s="82" t="n">
        <f aca="false">B14</f>
        <v>344331</v>
      </c>
      <c r="D10" s="1" t="n">
        <f aca="false">C14</f>
        <v>344331</v>
      </c>
      <c r="E10" s="1" t="n">
        <f aca="false">D14</f>
        <v>344331</v>
      </c>
      <c r="F10" s="1" t="n">
        <f aca="false">E14</f>
        <v>344331</v>
      </c>
      <c r="G10" s="1" t="n">
        <f aca="false">F14</f>
        <v>344331</v>
      </c>
      <c r="H10" s="1" t="n">
        <f aca="false">G14</f>
        <v>344331</v>
      </c>
      <c r="I10" s="1" t="n">
        <f aca="false">H14</f>
        <v>344331</v>
      </c>
      <c r="J10" s="1" t="n">
        <f aca="false">I14</f>
        <v>344331</v>
      </c>
      <c r="K10" s="1" t="n">
        <f aca="false">J14</f>
        <v>344331</v>
      </c>
      <c r="L10" s="1" t="n">
        <f aca="false">K14</f>
        <v>344331</v>
      </c>
      <c r="M10" s="1" t="n">
        <f aca="false">L14</f>
        <v>344331</v>
      </c>
      <c r="N10" s="1" t="n">
        <f aca="false">M14</f>
        <v>344331</v>
      </c>
      <c r="O10" s="1" t="n">
        <f aca="false">N14</f>
        <v>339644.54</v>
      </c>
      <c r="P10" s="1" t="n">
        <f aca="false">O14</f>
        <v>334926.836933333</v>
      </c>
      <c r="Q10" s="1" t="n">
        <f aca="false">P14</f>
        <v>330177.682512889</v>
      </c>
      <c r="R10" s="1" t="n">
        <f aca="false">Q14</f>
        <v>325396.867062975</v>
      </c>
      <c r="S10" s="1" t="n">
        <f aca="false">R14</f>
        <v>320584.179510061</v>
      </c>
    </row>
    <row r="11" customFormat="false" ht="15" hidden="false" customHeight="true" outlineLevel="0" collapsed="false">
      <c r="A11" s="1" t="s">
        <v>735</v>
      </c>
      <c r="B11" s="1" t="n">
        <v>0</v>
      </c>
      <c r="C11" s="1" t="n">
        <f aca="false">IF(PRAIRIES_TREATMENT="AMORTIZE",IF(1&gt;=PRAIRIES_START_MONTH,C10*PC_RATE/12,0),0)</f>
        <v>0</v>
      </c>
      <c r="D11" s="1" t="n">
        <f aca="false">IF(PRAIRIES_TREATMENT="AMORTIZE",IF(2&gt;=PRAIRIES_START_MONTH,D10*PC_RATE/12,0),0)</f>
        <v>0</v>
      </c>
      <c r="E11" s="1" t="n">
        <f aca="false">IF(PRAIRIES_TREATMENT="AMORTIZE",IF(3&gt;=PRAIRIES_START_MONTH,E10*PC_RATE/12,0),0)</f>
        <v>0</v>
      </c>
      <c r="F11" s="1" t="n">
        <f aca="false">IF(PRAIRIES_TREATMENT="AMORTIZE",IF(4&gt;=PRAIRIES_START_MONTH,F10*PC_RATE/12,0),0)</f>
        <v>0</v>
      </c>
      <c r="G11" s="1" t="n">
        <f aca="false">IF(PRAIRIES_TREATMENT="AMORTIZE",IF(5&gt;=PRAIRIES_START_MONTH,G10*PC_RATE/12,0),0)</f>
        <v>0</v>
      </c>
      <c r="H11" s="1" t="n">
        <f aca="false">IF(PRAIRIES_TREATMENT="AMORTIZE",IF(6&gt;=PRAIRIES_START_MONTH,H10*PC_RATE/12,0),0)</f>
        <v>0</v>
      </c>
      <c r="I11" s="1" t="n">
        <f aca="false">IF(PRAIRIES_TREATMENT="AMORTIZE",IF(7&gt;=PRAIRIES_START_MONTH,I10*PC_RATE/12,0),0)</f>
        <v>0</v>
      </c>
      <c r="J11" s="1" t="n">
        <f aca="false">IF(PRAIRIES_TREATMENT="AMORTIZE",IF(8&gt;=PRAIRIES_START_MONTH,J10*PC_RATE/12,0),0)</f>
        <v>0</v>
      </c>
      <c r="K11" s="1" t="n">
        <f aca="false">IF(PRAIRIES_TREATMENT="AMORTIZE",IF(9&gt;=PRAIRIES_START_MONTH,K10*PC_RATE/12,0),0)</f>
        <v>0</v>
      </c>
      <c r="L11" s="1" t="n">
        <f aca="false">IF(PRAIRIES_TREATMENT="AMORTIZE",IF(10&gt;=PRAIRIES_START_MONTH,L10*PC_RATE/12,0),0)</f>
        <v>0</v>
      </c>
      <c r="M11" s="1" t="n">
        <f aca="false">IF(PRAIRIES_TREATMENT="AMORTIZE",IF(11&gt;=PRAIRIES_START_MONTH,M10*PC_RATE/12,0),0)</f>
        <v>0</v>
      </c>
      <c r="N11" s="1" t="n">
        <f aca="false">IF(PRAIRIES_TREATMENT="AMORTIZE",IF(12&gt;=PRAIRIES_START_MONTH,N10*PC_RATE/12,0),0)</f>
        <v>2295.54</v>
      </c>
      <c r="O11" s="1" t="n">
        <f aca="false">IF(PRAIRIES_TREATMENT="AMORTIZE",IF(13&gt;=PRAIRIES_START_MONTH,O10*PC_RATE/12,0),0)</f>
        <v>2264.29693333333</v>
      </c>
      <c r="P11" s="1" t="n">
        <f aca="false">IF(PRAIRIES_TREATMENT="AMORTIZE",IF(14&gt;=PRAIRIES_START_MONTH,P10*PC_RATE/12,0),0)</f>
        <v>2232.84557955556</v>
      </c>
      <c r="Q11" s="1" t="n">
        <f aca="false">IF(PRAIRIES_TREATMENT="AMORTIZE",IF(15&gt;=PRAIRIES_START_MONTH,Q10*PC_RATE/12,0),0)</f>
        <v>2201.18455008593</v>
      </c>
      <c r="R11" s="1" t="n">
        <f aca="false">IF(PRAIRIES_TREATMENT="AMORTIZE",IF(16&gt;=PRAIRIES_START_MONTH,R10*PC_RATE/12,0),0)</f>
        <v>2169.3124470865</v>
      </c>
      <c r="S11" s="1" t="n">
        <f aca="false">IF(PRAIRIES_TREATMENT="AMORTIZE",IF(17&gt;=PRAIRIES_START_MONTH,S10*PC_RATE/12,0),0)</f>
        <v>2137.22786340041</v>
      </c>
    </row>
    <row r="12" customFormat="false" ht="15" hidden="false" customHeight="true" outlineLevel="0" collapsed="false">
      <c r="A12" s="1" t="s">
        <v>736</v>
      </c>
      <c r="B12" s="1" t="n">
        <f aca="false">IF(PRAIRIES_TREATMENT="AMORTIZE",ROUND(OB_PRAIRIES*(PC_RATE/12)/(1-(1+PC_RATE/12)^(-PC_TERM)),0),0)</f>
        <v>6982</v>
      </c>
      <c r="C12" s="1" t="n">
        <f aca="false">B12</f>
        <v>6982</v>
      </c>
      <c r="D12" s="1" t="n">
        <f aca="false">B12</f>
        <v>6982</v>
      </c>
      <c r="E12" s="1" t="n">
        <f aca="false">B12</f>
        <v>6982</v>
      </c>
      <c r="F12" s="1" t="n">
        <f aca="false">B12</f>
        <v>6982</v>
      </c>
      <c r="G12" s="1" t="n">
        <f aca="false">B12</f>
        <v>6982</v>
      </c>
      <c r="H12" s="1" t="n">
        <f aca="false">B12</f>
        <v>6982</v>
      </c>
      <c r="I12" s="1" t="n">
        <f aca="false">B12</f>
        <v>6982</v>
      </c>
      <c r="J12" s="1" t="n">
        <f aca="false">B12</f>
        <v>6982</v>
      </c>
      <c r="K12" s="1" t="n">
        <f aca="false">B12</f>
        <v>6982</v>
      </c>
      <c r="L12" s="1" t="n">
        <f aca="false">B12</f>
        <v>6982</v>
      </c>
      <c r="M12" s="1" t="n">
        <f aca="false">B12</f>
        <v>6982</v>
      </c>
      <c r="N12" s="1" t="n">
        <f aca="false">B12</f>
        <v>6982</v>
      </c>
      <c r="O12" s="1" t="n">
        <f aca="false">B12</f>
        <v>6982</v>
      </c>
      <c r="P12" s="1" t="n">
        <f aca="false">B12</f>
        <v>6982</v>
      </c>
      <c r="Q12" s="1" t="n">
        <f aca="false">B12</f>
        <v>6982</v>
      </c>
      <c r="R12" s="1" t="n">
        <f aca="false">B12</f>
        <v>6982</v>
      </c>
      <c r="S12" s="1" t="n">
        <f aca="false">B12</f>
        <v>6982</v>
      </c>
    </row>
    <row r="13" customFormat="false" ht="15" hidden="false" customHeight="true" outlineLevel="0" collapsed="false">
      <c r="A13" s="1" t="s">
        <v>737</v>
      </c>
      <c r="B13" s="1" t="n">
        <v>0</v>
      </c>
      <c r="C13" s="1" t="n">
        <f aca="false">IF(PRAIRIES_TREATMENT="AMORTIZE",IF(1&gt;=PRAIRIES_START_MONTH,MAX(0,MIN(PC_PMT-C11,C10)),0),IF(PRAIRIES_TREATMENT="FORGIVE",IF(1=PRAIRIES_START_MONTH,C10,0),0))</f>
        <v>0</v>
      </c>
      <c r="D13" s="1" t="n">
        <f aca="false">IF(PRAIRIES_TREATMENT="AMORTIZE",IF(2&gt;=PRAIRIES_START_MONTH,MAX(0,MIN(PC_PMT-D11,D10)),0),IF(PRAIRIES_TREATMENT="FORGIVE",IF(2=PRAIRIES_START_MONTH,D10,0),0))</f>
        <v>0</v>
      </c>
      <c r="E13" s="1" t="n">
        <f aca="false">IF(PRAIRIES_TREATMENT="AMORTIZE",IF(3&gt;=PRAIRIES_START_MONTH,MAX(0,MIN(PC_PMT-E11,E10)),0),IF(PRAIRIES_TREATMENT="FORGIVE",IF(3=PRAIRIES_START_MONTH,E10,0),0))</f>
        <v>0</v>
      </c>
      <c r="F13" s="1" t="n">
        <f aca="false">IF(PRAIRIES_TREATMENT="AMORTIZE",IF(4&gt;=PRAIRIES_START_MONTH,MAX(0,MIN(PC_PMT-F11,F10)),0),IF(PRAIRIES_TREATMENT="FORGIVE",IF(4=PRAIRIES_START_MONTH,F10,0),0))</f>
        <v>0</v>
      </c>
      <c r="G13" s="1" t="n">
        <f aca="false">IF(PRAIRIES_TREATMENT="AMORTIZE",IF(5&gt;=PRAIRIES_START_MONTH,MAX(0,MIN(PC_PMT-G11,G10)),0),IF(PRAIRIES_TREATMENT="FORGIVE",IF(5=PRAIRIES_START_MONTH,G10,0),0))</f>
        <v>0</v>
      </c>
      <c r="H13" s="1" t="n">
        <f aca="false">IF(PRAIRIES_TREATMENT="AMORTIZE",IF(6&gt;=PRAIRIES_START_MONTH,MAX(0,MIN(PC_PMT-H11,H10)),0),IF(PRAIRIES_TREATMENT="FORGIVE",IF(6=PRAIRIES_START_MONTH,H10,0),0))</f>
        <v>0</v>
      </c>
      <c r="I13" s="1" t="n">
        <f aca="false">IF(PRAIRIES_TREATMENT="AMORTIZE",IF(7&gt;=PRAIRIES_START_MONTH,MAX(0,MIN(PC_PMT-I11,I10)),0),IF(PRAIRIES_TREATMENT="FORGIVE",IF(7=PRAIRIES_START_MONTH,I10,0),0))</f>
        <v>0</v>
      </c>
      <c r="J13" s="1" t="n">
        <f aca="false">IF(PRAIRIES_TREATMENT="AMORTIZE",IF(8&gt;=PRAIRIES_START_MONTH,MAX(0,MIN(PC_PMT-J11,J10)),0),IF(PRAIRIES_TREATMENT="FORGIVE",IF(8=PRAIRIES_START_MONTH,J10,0),0))</f>
        <v>0</v>
      </c>
      <c r="K13" s="1" t="n">
        <f aca="false">IF(PRAIRIES_TREATMENT="AMORTIZE",IF(9&gt;=PRAIRIES_START_MONTH,MAX(0,MIN(PC_PMT-K11,K10)),0),IF(PRAIRIES_TREATMENT="FORGIVE",IF(9=PRAIRIES_START_MONTH,K10,0),0))</f>
        <v>0</v>
      </c>
      <c r="L13" s="1" t="n">
        <f aca="false">IF(PRAIRIES_TREATMENT="AMORTIZE",IF(10&gt;=PRAIRIES_START_MONTH,MAX(0,MIN(PC_PMT-L11,L10)),0),IF(PRAIRIES_TREATMENT="FORGIVE",IF(10=PRAIRIES_START_MONTH,L10,0),0))</f>
        <v>0</v>
      </c>
      <c r="M13" s="1" t="n">
        <f aca="false">IF(PRAIRIES_TREATMENT="AMORTIZE",IF(11&gt;=PRAIRIES_START_MONTH,MAX(0,MIN(PC_PMT-M11,M10)),0),IF(PRAIRIES_TREATMENT="FORGIVE",IF(11=PRAIRIES_START_MONTH,M10,0),0))</f>
        <v>0</v>
      </c>
      <c r="N13" s="1" t="n">
        <f aca="false">IF(PRAIRIES_TREATMENT="AMORTIZE",IF(12&gt;=PRAIRIES_START_MONTH,MAX(0,MIN(PC_PMT-N11,N10)),0),IF(PRAIRIES_TREATMENT="FORGIVE",IF(12=PRAIRIES_START_MONTH,N10,0),0))</f>
        <v>4686.46</v>
      </c>
      <c r="O13" s="1" t="n">
        <f aca="false">IF(PRAIRIES_TREATMENT="AMORTIZE",IF(13&gt;=PRAIRIES_START_MONTH,MAX(0,MIN(PC_PMT-O11,O10)),0),IF(PRAIRIES_TREATMENT="FORGIVE",IF(13=PRAIRIES_START_MONTH,O10,0),0))</f>
        <v>4717.70306666667</v>
      </c>
      <c r="P13" s="1" t="n">
        <f aca="false">IF(PRAIRIES_TREATMENT="AMORTIZE",IF(14&gt;=PRAIRIES_START_MONTH,MAX(0,MIN(PC_PMT-P11,P10)),0),IF(PRAIRIES_TREATMENT="FORGIVE",IF(14=PRAIRIES_START_MONTH,P10,0),0))</f>
        <v>4749.15442044444</v>
      </c>
      <c r="Q13" s="1" t="n">
        <f aca="false">IF(PRAIRIES_TREATMENT="AMORTIZE",IF(15&gt;=PRAIRIES_START_MONTH,MAX(0,MIN(PC_PMT-Q11,Q10)),0),IF(PRAIRIES_TREATMENT="FORGIVE",IF(15=PRAIRIES_START_MONTH,Q10,0),0))</f>
        <v>4780.81544991408</v>
      </c>
      <c r="R13" s="1" t="n">
        <f aca="false">IF(PRAIRIES_TREATMENT="AMORTIZE",IF(16&gt;=PRAIRIES_START_MONTH,MAX(0,MIN(PC_PMT-R11,R10)),0),IF(PRAIRIES_TREATMENT="FORGIVE",IF(16=PRAIRIES_START_MONTH,R10,0),0))</f>
        <v>4812.6875529135</v>
      </c>
      <c r="S13" s="1" t="n">
        <f aca="false">IF(PRAIRIES_TREATMENT="AMORTIZE",IF(17&gt;=PRAIRIES_START_MONTH,MAX(0,MIN(PC_PMT-S11,S10)),0),IF(PRAIRIES_TREATMENT="FORGIVE",IF(17=PRAIRIES_START_MONTH,S10,0),0))</f>
        <v>4844.77213659959</v>
      </c>
    </row>
    <row r="14" customFormat="false" ht="15" hidden="false" customHeight="true" outlineLevel="0" collapsed="false">
      <c r="A14" s="1" t="s">
        <v>738</v>
      </c>
      <c r="B14" s="82" t="n">
        <f aca="false">OB_PRAIRIES</f>
        <v>344331</v>
      </c>
      <c r="C14" s="1" t="n">
        <f aca="false">MAX(0,C10-C13)</f>
        <v>344331</v>
      </c>
      <c r="D14" s="1" t="n">
        <f aca="false">MAX(0,D10-D13)</f>
        <v>344331</v>
      </c>
      <c r="E14" s="1" t="n">
        <f aca="false">MAX(0,E10-E13)</f>
        <v>344331</v>
      </c>
      <c r="F14" s="1" t="n">
        <f aca="false">MAX(0,F10-F13)</f>
        <v>344331</v>
      </c>
      <c r="G14" s="1" t="n">
        <f aca="false">MAX(0,G10-G13)</f>
        <v>344331</v>
      </c>
      <c r="H14" s="1" t="n">
        <f aca="false">MAX(0,H10-H13)</f>
        <v>344331</v>
      </c>
      <c r="I14" s="1" t="n">
        <f aca="false">MAX(0,I10-I13)</f>
        <v>344331</v>
      </c>
      <c r="J14" s="1" t="n">
        <f aca="false">MAX(0,J10-J13)</f>
        <v>344331</v>
      </c>
      <c r="K14" s="1" t="n">
        <f aca="false">MAX(0,K10-K13)</f>
        <v>344331</v>
      </c>
      <c r="L14" s="1" t="n">
        <f aca="false">MAX(0,L10-L13)</f>
        <v>344331</v>
      </c>
      <c r="M14" s="1" t="n">
        <f aca="false">MAX(0,M10-M13)</f>
        <v>344331</v>
      </c>
      <c r="N14" s="1" t="n">
        <f aca="false">MAX(0,N10-N13)</f>
        <v>339644.54</v>
      </c>
      <c r="O14" s="1" t="n">
        <f aca="false">MAX(0,O10-O13)</f>
        <v>334926.836933333</v>
      </c>
      <c r="P14" s="1" t="n">
        <f aca="false">MAX(0,P10-P13)</f>
        <v>330177.682512889</v>
      </c>
      <c r="Q14" s="1" t="n">
        <f aca="false">MAX(0,Q10-Q13)</f>
        <v>325396.867062975</v>
      </c>
      <c r="R14" s="1" t="n">
        <f aca="false">MAX(0,R10-R13)</f>
        <v>320584.179510061</v>
      </c>
      <c r="S14" s="1" t="n">
        <f aca="false">MAX(0,S10-S13)</f>
        <v>315739.407373462</v>
      </c>
    </row>
    <row r="16" customFormat="false" ht="15" hidden="false" customHeight="true" outlineLevel="0" collapsed="false">
      <c r="A16" s="54" t="s">
        <v>739</v>
      </c>
    </row>
    <row r="17" customFormat="false" ht="15" hidden="false" customHeight="true" outlineLevel="0" collapsed="false">
      <c r="A17" s="1" t="s">
        <v>740</v>
      </c>
      <c r="B17" s="1" t="n">
        <f aca="false">OB_CEBA</f>
        <v>56700</v>
      </c>
      <c r="C17" s="1" t="n">
        <f aca="false">B19</f>
        <v>56700</v>
      </c>
      <c r="D17" s="1" t="n">
        <f aca="false">C19</f>
        <v>56700</v>
      </c>
      <c r="E17" s="1" t="n">
        <f aca="false">D19</f>
        <v>56700</v>
      </c>
      <c r="F17" s="1" t="n">
        <f aca="false">E19</f>
        <v>56700</v>
      </c>
      <c r="G17" s="1" t="n">
        <f aca="false">F19</f>
        <v>56700</v>
      </c>
      <c r="H17" s="1" t="n">
        <f aca="false">G19</f>
        <v>56700</v>
      </c>
      <c r="I17" s="1" t="n">
        <f aca="false">H19</f>
        <v>56700</v>
      </c>
      <c r="J17" s="1" t="n">
        <f aca="false">I19</f>
        <v>56700</v>
      </c>
      <c r="K17" s="1" t="n">
        <f aca="false">J19</f>
        <v>56700</v>
      </c>
      <c r="L17" s="1" t="n">
        <f aca="false">K19</f>
        <v>56700</v>
      </c>
      <c r="M17" s="1" t="n">
        <f aca="false">L19</f>
        <v>56700</v>
      </c>
      <c r="N17" s="1" t="n">
        <f aca="false">M19</f>
        <v>0</v>
      </c>
      <c r="O17" s="1" t="n">
        <f aca="false">N19</f>
        <v>0</v>
      </c>
      <c r="P17" s="1" t="n">
        <f aca="false">O19</f>
        <v>0</v>
      </c>
      <c r="Q17" s="1" t="n">
        <f aca="false">P19</f>
        <v>0</v>
      </c>
      <c r="R17" s="1" t="n">
        <f aca="false">Q19</f>
        <v>0</v>
      </c>
      <c r="S17" s="1" t="n">
        <f aca="false">R19</f>
        <v>0</v>
      </c>
    </row>
    <row r="18" customFormat="false" ht="15" hidden="false" customHeight="true" outlineLevel="0" collapsed="false">
      <c r="A18" s="1" t="s">
        <v>741</v>
      </c>
      <c r="B18" s="1" t="n">
        <v>0</v>
      </c>
      <c r="C18" s="1" t="n">
        <f aca="false">IF(1=CEBA_PAY_MONTH,MAX(0,C17-CEBA_FORGIVE_AMT),0)</f>
        <v>0</v>
      </c>
      <c r="D18" s="1" t="n">
        <f aca="false">IF(2=CEBA_PAY_MONTH,MAX(0,D17-CEBA_FORGIVE_AMT),0)</f>
        <v>0</v>
      </c>
      <c r="E18" s="1" t="n">
        <f aca="false">IF(3=CEBA_PAY_MONTH,MAX(0,E17-CEBA_FORGIVE_AMT),0)</f>
        <v>0</v>
      </c>
      <c r="F18" s="1" t="n">
        <f aca="false">IF(4=CEBA_PAY_MONTH,MAX(0,F17-CEBA_FORGIVE_AMT),0)</f>
        <v>0</v>
      </c>
      <c r="G18" s="1" t="n">
        <f aca="false">IF(5=CEBA_PAY_MONTH,MAX(0,G17-CEBA_FORGIVE_AMT),0)</f>
        <v>0</v>
      </c>
      <c r="H18" s="1" t="n">
        <f aca="false">IF(6=CEBA_PAY_MONTH,MAX(0,H17-CEBA_FORGIVE_AMT),0)</f>
        <v>0</v>
      </c>
      <c r="I18" s="1" t="n">
        <f aca="false">IF(7=CEBA_PAY_MONTH,MAX(0,I17-CEBA_FORGIVE_AMT),0)</f>
        <v>0</v>
      </c>
      <c r="J18" s="1" t="n">
        <f aca="false">IF(8=CEBA_PAY_MONTH,MAX(0,J17-CEBA_FORGIVE_AMT),0)</f>
        <v>0</v>
      </c>
      <c r="K18" s="1" t="n">
        <f aca="false">IF(9=CEBA_PAY_MONTH,MAX(0,K17-CEBA_FORGIVE_AMT),0)</f>
        <v>0</v>
      </c>
      <c r="L18" s="1" t="n">
        <f aca="false">IF(10=CEBA_PAY_MONTH,MAX(0,L17-CEBA_FORGIVE_AMT),0)</f>
        <v>0</v>
      </c>
      <c r="M18" s="1" t="n">
        <f aca="false">IF(11=CEBA_PAY_MONTH,MAX(0,M17-CEBA_FORGIVE_AMT),0)</f>
        <v>56700</v>
      </c>
      <c r="N18" s="1" t="n">
        <f aca="false">IF(12=CEBA_PAY_MONTH,MAX(0,N17-CEBA_FORGIVE_AMT),0)</f>
        <v>0</v>
      </c>
      <c r="O18" s="1" t="n">
        <f aca="false">IF(13=CEBA_PAY_MONTH,MAX(0,O17-CEBA_FORGIVE_AMT),0)</f>
        <v>0</v>
      </c>
      <c r="P18" s="1" t="n">
        <f aca="false">IF(14=CEBA_PAY_MONTH,MAX(0,P17-CEBA_FORGIVE_AMT),0)</f>
        <v>0</v>
      </c>
      <c r="Q18" s="1" t="n">
        <f aca="false">IF(15=CEBA_PAY_MONTH,MAX(0,Q17-CEBA_FORGIVE_AMT),0)</f>
        <v>0</v>
      </c>
      <c r="R18" s="1" t="n">
        <f aca="false">IF(16=CEBA_PAY_MONTH,MAX(0,R17-CEBA_FORGIVE_AMT),0)</f>
        <v>0</v>
      </c>
      <c r="S18" s="1" t="n">
        <f aca="false">IF(17=CEBA_PAY_MONTH,MAX(0,S17-CEBA_FORGIVE_AMT),0)</f>
        <v>0</v>
      </c>
    </row>
    <row r="19" customFormat="false" ht="15" hidden="false" customHeight="true" outlineLevel="0" collapsed="false">
      <c r="A19" s="1" t="s">
        <v>742</v>
      </c>
      <c r="B19" s="1" t="n">
        <f aca="false">OB_CEBA</f>
        <v>56700</v>
      </c>
      <c r="C19" s="1" t="n">
        <f aca="false">MAX(0,C17-C18)</f>
        <v>56700</v>
      </c>
      <c r="D19" s="1" t="n">
        <f aca="false">MAX(0,D17-D18)</f>
        <v>56700</v>
      </c>
      <c r="E19" s="1" t="n">
        <f aca="false">MAX(0,E17-E18)</f>
        <v>56700</v>
      </c>
      <c r="F19" s="1" t="n">
        <f aca="false">MAX(0,F17-F18)</f>
        <v>56700</v>
      </c>
      <c r="G19" s="1" t="n">
        <f aca="false">MAX(0,G17-G18)</f>
        <v>56700</v>
      </c>
      <c r="H19" s="1" t="n">
        <f aca="false">MAX(0,H17-H18)</f>
        <v>56700</v>
      </c>
      <c r="I19" s="1" t="n">
        <f aca="false">MAX(0,I17-I18)</f>
        <v>56700</v>
      </c>
      <c r="J19" s="1" t="n">
        <f aca="false">MAX(0,J17-J18)</f>
        <v>56700</v>
      </c>
      <c r="K19" s="1" t="n">
        <f aca="false">MAX(0,K17-K18)</f>
        <v>56700</v>
      </c>
      <c r="L19" s="1" t="n">
        <f aca="false">MAX(0,L17-L18)</f>
        <v>56700</v>
      </c>
      <c r="M19" s="1" t="n">
        <f aca="false">MAX(0,M17-M18)</f>
        <v>0</v>
      </c>
      <c r="N19" s="1" t="n">
        <f aca="false">MAX(0,N17-N18)</f>
        <v>0</v>
      </c>
      <c r="O19" s="1" t="n">
        <f aca="false">MAX(0,O17-O18)</f>
        <v>0</v>
      </c>
      <c r="P19" s="1" t="n">
        <f aca="false">MAX(0,P17-P18)</f>
        <v>0</v>
      </c>
      <c r="Q19" s="1" t="n">
        <f aca="false">MAX(0,Q17-Q18)</f>
        <v>0</v>
      </c>
      <c r="R19" s="1" t="n">
        <f aca="false">MAX(0,R17-R18)</f>
        <v>0</v>
      </c>
      <c r="S19" s="1" t="n">
        <f aca="false">MAX(0,S17-S18)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9" min="5" style="1" width="14"/>
  </cols>
  <sheetData>
    <row r="1" customFormat="false" ht="27.75" hidden="false" customHeight="true" outlineLevel="0" collapsed="false">
      <c r="A1" s="96" t="s">
        <v>743</v>
      </c>
      <c r="B1" s="96"/>
      <c r="C1" s="96"/>
      <c r="D1" s="96"/>
      <c r="E1" s="96"/>
      <c r="F1" s="96"/>
      <c r="G1" s="96"/>
      <c r="H1" s="96"/>
      <c r="I1" s="96"/>
    </row>
    <row r="2" customFormat="false" ht="15" hidden="false" customHeight="true" outlineLevel="0" collapsed="false">
      <c r="A2" s="97" t="s">
        <v>744</v>
      </c>
      <c r="B2" s="97"/>
      <c r="C2" s="97"/>
      <c r="D2" s="97"/>
      <c r="E2" s="97"/>
      <c r="F2" s="97"/>
      <c r="G2" s="97"/>
      <c r="H2" s="97"/>
      <c r="I2" s="97"/>
    </row>
    <row r="4" customFormat="false" ht="15" hidden="false" customHeight="true" outlineLevel="0" collapsed="false">
      <c r="A4" s="98" t="s">
        <v>745</v>
      </c>
      <c r="B4" s="98"/>
      <c r="C4" s="98"/>
      <c r="D4" s="98"/>
      <c r="E4" s="98"/>
      <c r="F4" s="98"/>
      <c r="G4" s="98"/>
      <c r="H4" s="98"/>
      <c r="I4" s="98"/>
    </row>
    <row r="5" customFormat="false" ht="23.25" hidden="false" customHeight="true" outlineLevel="0" collapsed="false">
      <c r="A5" s="7" t="s">
        <v>746</v>
      </c>
      <c r="B5" s="7" t="s">
        <v>747</v>
      </c>
      <c r="C5" s="7" t="s">
        <v>748</v>
      </c>
      <c r="D5" s="7" t="s">
        <v>749</v>
      </c>
    </row>
    <row r="6" customFormat="false" ht="15" hidden="false" customHeight="true" outlineLevel="0" collapsed="false">
      <c r="A6" s="99" t="s">
        <v>750</v>
      </c>
      <c r="B6" s="100" t="n">
        <v>5000000</v>
      </c>
      <c r="C6" s="101" t="n">
        <f aca="false">B6/B25</f>
        <v>0.697696874708712</v>
      </c>
      <c r="D6" s="102" t="n">
        <f aca="false">B6/B25*7500000</f>
        <v>5232726.56031534</v>
      </c>
    </row>
    <row r="7" customFormat="false" ht="15" hidden="false" customHeight="true" outlineLevel="0" collapsed="false">
      <c r="A7" s="57" t="s">
        <v>751</v>
      </c>
      <c r="B7" s="100" t="n">
        <v>882353</v>
      </c>
      <c r="C7" s="103" t="n">
        <f aca="false">B7/B25</f>
        <v>0.123122986097971</v>
      </c>
      <c r="D7" s="104" t="n">
        <f aca="false">B7/B25*7500000</f>
        <v>923422.395734784</v>
      </c>
    </row>
    <row r="8" customFormat="false" ht="15" hidden="false" customHeight="true" outlineLevel="0" collapsed="false">
      <c r="A8" s="99" t="s">
        <v>752</v>
      </c>
      <c r="B8" s="100" t="n">
        <v>294117</v>
      </c>
      <c r="C8" s="101" t="n">
        <f aca="false">B8/B25</f>
        <v>0.0410409023397404</v>
      </c>
      <c r="D8" s="102" t="n">
        <f aca="false">B8/B25*7500000</f>
        <v>307806.767548053</v>
      </c>
    </row>
    <row r="9" customFormat="false" ht="15" hidden="false" customHeight="true" outlineLevel="0" collapsed="false">
      <c r="A9" s="57" t="s">
        <v>753</v>
      </c>
      <c r="B9" s="100" t="n">
        <v>204964</v>
      </c>
      <c r="C9" s="103" t="n">
        <f aca="false">B9/B25</f>
        <v>0.0286005484455593</v>
      </c>
      <c r="D9" s="104" t="n">
        <f aca="false">B9/B25*7500000</f>
        <v>214504.113341695</v>
      </c>
    </row>
    <row r="10" customFormat="false" ht="15" hidden="false" customHeight="true" outlineLevel="0" collapsed="false">
      <c r="A10" s="99" t="s">
        <v>754</v>
      </c>
      <c r="B10" s="100" t="n">
        <v>203106</v>
      </c>
      <c r="C10" s="101" t="n">
        <f aca="false">B10/B25</f>
        <v>0.0283412842869175</v>
      </c>
      <c r="D10" s="102" t="n">
        <f aca="false">B10/B25*7500000</f>
        <v>212559.632151881</v>
      </c>
    </row>
    <row r="11" customFormat="false" ht="15" hidden="false" customHeight="true" outlineLevel="0" collapsed="false">
      <c r="A11" s="57" t="s">
        <v>755</v>
      </c>
      <c r="B11" s="100" t="n">
        <v>58822</v>
      </c>
      <c r="C11" s="103" t="n">
        <f aca="false">B11/B25</f>
        <v>0.00820798511282317</v>
      </c>
      <c r="D11" s="104" t="n">
        <f aca="false">B11/B25*7500000</f>
        <v>61559.8883461738</v>
      </c>
    </row>
    <row r="12" customFormat="false" ht="15" hidden="false" customHeight="true" outlineLevel="0" collapsed="false">
      <c r="A12" s="99" t="s">
        <v>756</v>
      </c>
      <c r="B12" s="100" t="n">
        <v>29412</v>
      </c>
      <c r="C12" s="101" t="n">
        <f aca="false">B12/B25</f>
        <v>0.00410413209578652</v>
      </c>
      <c r="D12" s="102" t="n">
        <f aca="false">B12/B25*7500000</f>
        <v>30780.9907183989</v>
      </c>
    </row>
    <row r="13" customFormat="false" ht="15" hidden="false" customHeight="true" outlineLevel="0" collapsed="false">
      <c r="A13" s="57" t="s">
        <v>757</v>
      </c>
      <c r="B13" s="100" t="n">
        <v>14706</v>
      </c>
      <c r="C13" s="103" t="n">
        <f aca="false">B13/B25</f>
        <v>0.00205206604789326</v>
      </c>
      <c r="D13" s="104" t="n">
        <f aca="false">B13/B25*7500000</f>
        <v>15390.4953591995</v>
      </c>
    </row>
    <row r="14" customFormat="false" ht="15" hidden="false" customHeight="true" outlineLevel="0" collapsed="false">
      <c r="A14" s="99" t="s">
        <v>758</v>
      </c>
      <c r="B14" s="100" t="n">
        <v>14706</v>
      </c>
      <c r="C14" s="101" t="n">
        <f aca="false">B14/B25</f>
        <v>0.00205206604789326</v>
      </c>
      <c r="D14" s="102" t="n">
        <f aca="false">B14/B25*7500000</f>
        <v>15390.4953591995</v>
      </c>
    </row>
    <row r="15" customFormat="false" ht="15" hidden="false" customHeight="true" outlineLevel="0" collapsed="false">
      <c r="A15" s="57" t="s">
        <v>759</v>
      </c>
      <c r="B15" s="100" t="n">
        <v>14706</v>
      </c>
      <c r="C15" s="103" t="n">
        <f aca="false">B15/B25</f>
        <v>0.00205206604789326</v>
      </c>
      <c r="D15" s="104" t="n">
        <f aca="false">B15/B25*7500000</f>
        <v>15390.4953591995</v>
      </c>
    </row>
    <row r="16" customFormat="false" ht="15" hidden="false" customHeight="true" outlineLevel="0" collapsed="false">
      <c r="A16" s="99" t="s">
        <v>760</v>
      </c>
      <c r="B16" s="100" t="n">
        <v>14706</v>
      </c>
      <c r="C16" s="101" t="n">
        <f aca="false">B16/B25</f>
        <v>0.00205206604789326</v>
      </c>
      <c r="D16" s="102" t="n">
        <f aca="false">B16/B25*7500000</f>
        <v>15390.4953591995</v>
      </c>
    </row>
    <row r="17" customFormat="false" ht="15" hidden="false" customHeight="true" outlineLevel="0" collapsed="false">
      <c r="A17" s="57" t="s">
        <v>761</v>
      </c>
      <c r="B17" s="100" t="n">
        <v>98038</v>
      </c>
      <c r="C17" s="103" t="n">
        <f aca="false">B17/B25</f>
        <v>0.0136801612405385</v>
      </c>
      <c r="D17" s="104" t="n">
        <f aca="false">B17/B25*7500000</f>
        <v>102601.209304039</v>
      </c>
    </row>
    <row r="18" customFormat="false" ht="15" hidden="false" customHeight="true" outlineLevel="0" collapsed="false">
      <c r="A18" s="99" t="s">
        <v>762</v>
      </c>
      <c r="B18" s="100" t="n">
        <v>63725</v>
      </c>
      <c r="C18" s="101" t="n">
        <f aca="false">B18/B25</f>
        <v>0.00889214666816253</v>
      </c>
      <c r="D18" s="102" t="n">
        <f aca="false">B18/B25*7500000</f>
        <v>66691.100011219</v>
      </c>
    </row>
    <row r="19" customFormat="false" ht="15" hidden="false" customHeight="true" outlineLevel="0" collapsed="false">
      <c r="A19" s="57" t="s">
        <v>763</v>
      </c>
      <c r="B19" s="100" t="n">
        <v>49019</v>
      </c>
      <c r="C19" s="103" t="n">
        <f aca="false">B19/B25</f>
        <v>0.00684008062026927</v>
      </c>
      <c r="D19" s="104" t="n">
        <f aca="false">B19/B25*7500000</f>
        <v>51300.6046520195</v>
      </c>
    </row>
    <row r="20" customFormat="false" ht="15" hidden="false" customHeight="true" outlineLevel="0" collapsed="false">
      <c r="A20" s="99" t="s">
        <v>764</v>
      </c>
      <c r="B20" s="100" t="n">
        <v>49019</v>
      </c>
      <c r="C20" s="101" t="n">
        <f aca="false">B20/B25</f>
        <v>0.00684008062026927</v>
      </c>
      <c r="D20" s="102" t="n">
        <f aca="false">B20/B25*7500000</f>
        <v>51300.6046520195</v>
      </c>
    </row>
    <row r="21" customFormat="false" ht="15" hidden="false" customHeight="true" outlineLevel="0" collapsed="false">
      <c r="A21" s="57" t="s">
        <v>765</v>
      </c>
      <c r="B21" s="100" t="n">
        <v>49019</v>
      </c>
      <c r="C21" s="103" t="n">
        <f aca="false">B21/B25</f>
        <v>0.00684008062026927</v>
      </c>
      <c r="D21" s="104" t="n">
        <f aca="false">B21/B25*7500000</f>
        <v>51300.6046520195</v>
      </c>
    </row>
    <row r="22" customFormat="false" ht="15" hidden="false" customHeight="true" outlineLevel="0" collapsed="false">
      <c r="A22" s="99" t="s">
        <v>766</v>
      </c>
      <c r="B22" s="100" t="n">
        <v>29411</v>
      </c>
      <c r="C22" s="101" t="n">
        <f aca="false">B22/B25</f>
        <v>0.00410399255641158</v>
      </c>
      <c r="D22" s="102" t="n">
        <f aca="false">B22/B25*7500000</f>
        <v>30779.9441730869</v>
      </c>
    </row>
    <row r="23" customFormat="false" ht="15" hidden="false" customHeight="true" outlineLevel="0" collapsed="false">
      <c r="A23" s="57" t="s">
        <v>767</v>
      </c>
      <c r="B23" s="100" t="n">
        <v>19607</v>
      </c>
      <c r="C23" s="103" t="n">
        <f aca="false">B23/B25</f>
        <v>0.00273594852448274</v>
      </c>
      <c r="D23" s="104" t="n">
        <f aca="false">B23/B25*7500000</f>
        <v>20519.6139336206</v>
      </c>
    </row>
    <row r="24" customFormat="false" ht="15" hidden="false" customHeight="true" outlineLevel="0" collapsed="false">
      <c r="A24" s="99" t="s">
        <v>768</v>
      </c>
      <c r="B24" s="100" t="n">
        <v>77000</v>
      </c>
      <c r="C24" s="101" t="n">
        <f aca="false">B24/B25</f>
        <v>0.0107445318705142</v>
      </c>
      <c r="D24" s="102" t="n">
        <f aca="false">B24/B25*7500000</f>
        <v>80583.9890288562</v>
      </c>
    </row>
    <row r="25" customFormat="false" ht="15" hidden="false" customHeight="true" outlineLevel="0" collapsed="false">
      <c r="A25" s="105" t="s">
        <v>769</v>
      </c>
      <c r="B25" s="106" t="n">
        <f aca="false">SUM(B6:B24)</f>
        <v>7166436</v>
      </c>
      <c r="C25" s="107" t="n">
        <f aca="false">B25/B25</f>
        <v>1</v>
      </c>
      <c r="D25" s="108" t="n">
        <f aca="false">D6+D7+D8+D9+D10+D11+D12+D13+D14+D15+D16+D17+D18+D19+D20+D21+D22+D23+D24</f>
        <v>7500000</v>
      </c>
    </row>
    <row r="27" customFormat="false" ht="15" hidden="false" customHeight="true" outlineLevel="0" collapsed="false">
      <c r="A27" s="98" t="s">
        <v>770</v>
      </c>
      <c r="B27" s="98"/>
      <c r="C27" s="98"/>
      <c r="D27" s="98"/>
      <c r="E27" s="98"/>
      <c r="F27" s="98"/>
      <c r="G27" s="98"/>
      <c r="H27" s="98"/>
      <c r="I27" s="98"/>
    </row>
    <row r="28" customFormat="false" ht="15" hidden="false" customHeight="true" outlineLevel="0" collapsed="false">
      <c r="A28" s="97" t="s">
        <v>771</v>
      </c>
      <c r="B28" s="97"/>
      <c r="C28" s="97"/>
      <c r="D28" s="97"/>
      <c r="E28" s="97"/>
      <c r="F28" s="97"/>
      <c r="G28" s="97"/>
      <c r="H28" s="97"/>
      <c r="I28" s="97"/>
    </row>
    <row r="29" customFormat="false" ht="15" hidden="false" customHeight="true" outlineLevel="0" collapsed="false">
      <c r="A29" s="16" t="s">
        <v>772</v>
      </c>
      <c r="C29" s="109" t="s">
        <v>773</v>
      </c>
      <c r="D29" s="109" t="s">
        <v>774</v>
      </c>
      <c r="E29" s="109" t="s">
        <v>775</v>
      </c>
      <c r="F29" s="105" t="s">
        <v>776</v>
      </c>
    </row>
    <row r="30" customFormat="false" ht="15" hidden="false" customHeight="true" outlineLevel="0" collapsed="false">
      <c r="A30" s="99" t="s">
        <v>777</v>
      </c>
      <c r="B30" s="102" t="n">
        <f aca="false">7500000+1_Inputs!$B$101</f>
        <v>9500000</v>
      </c>
      <c r="C30" s="102" t="n">
        <f aca="false">10000000+1_Inputs!$B$101</f>
        <v>12000000</v>
      </c>
      <c r="D30" s="102" t="n">
        <f aca="false">12000000+1_Inputs!$B$101</f>
        <v>14000000</v>
      </c>
    </row>
    <row r="31" customFormat="false" ht="15" hidden="false" customHeight="true" outlineLevel="0" collapsed="false">
      <c r="A31" s="57" t="s">
        <v>778</v>
      </c>
      <c r="B31" s="110" t="n">
        <f aca="false">ROUND((1_Inputs!$B$101/(7500000+1_Inputs!$B$101))*B25/(1-1_Inputs!$B$101/(7500000+1_Inputs!$B$101)),0)</f>
        <v>1911050</v>
      </c>
      <c r="C31" s="110" t="n">
        <f aca="false">ROUND((1_Inputs!$B$101/(10000000+1_Inputs!$B$101))*B25/(1-1_Inputs!$B$101/(10000000+1_Inputs!$B$101)),0)</f>
        <v>1433287</v>
      </c>
      <c r="D31" s="110" t="n">
        <f aca="false">ROUND((1_Inputs!$B$101/(12000000+1_Inputs!$B$101))*B25/(1-1_Inputs!$B$101/(12000000+1_Inputs!$B$101)),0)</f>
        <v>1194406</v>
      </c>
    </row>
    <row r="32" customFormat="false" ht="15" hidden="false" customHeight="true" outlineLevel="0" collapsed="false">
      <c r="A32" s="99" t="s">
        <v>779</v>
      </c>
      <c r="B32" s="111" t="n">
        <f aca="false">B25+B31</f>
        <v>9077486</v>
      </c>
      <c r="C32" s="111" t="n">
        <f aca="false">B25+C31</f>
        <v>8599723</v>
      </c>
      <c r="D32" s="111" t="n">
        <f aca="false">B25+D31</f>
        <v>8360842</v>
      </c>
    </row>
    <row r="33" customFormat="false" ht="15" hidden="false" customHeight="true" outlineLevel="0" collapsed="false">
      <c r="A33" s="57" t="s">
        <v>780</v>
      </c>
      <c r="B33" s="103" t="n">
        <f aca="false">1_Inputs!$B$101/(7500000+1_Inputs!$B$101)</f>
        <v>0.210526315789474</v>
      </c>
      <c r="C33" s="103" t="n">
        <f aca="false">1_Inputs!$B$101/(10000000+1_Inputs!$B$101)</f>
        <v>0.166666666666667</v>
      </c>
      <c r="D33" s="103" t="n">
        <f aca="false">1_Inputs!$B$101/(12000000+1_Inputs!$B$101)</f>
        <v>0.142857142857143</v>
      </c>
    </row>
    <row r="34" customFormat="false" ht="15" hidden="false" customHeight="true" outlineLevel="0" collapsed="false">
      <c r="A34" s="99" t="s">
        <v>781</v>
      </c>
      <c r="B34" s="101" t="n">
        <f aca="false">B6/B25*(1-1_Inputs!$B$101/(7500000+1_Inputs!$B$101))</f>
        <v>0.550813322138457</v>
      </c>
      <c r="C34" s="101" t="n">
        <f aca="false">B6/B25*(1-1_Inputs!$B$101/(10000000+1_Inputs!$B$101))</f>
        <v>0.58141406225726</v>
      </c>
      <c r="D34" s="101" t="n">
        <f aca="false">B6/B25*(1-1_Inputs!$B$101/(12000000+1_Inputs!$B$101))</f>
        <v>0.598025892607467</v>
      </c>
    </row>
    <row r="35" customFormat="false" ht="15" hidden="false" customHeight="true" outlineLevel="0" collapsed="false">
      <c r="A35" s="57" t="s">
        <v>782</v>
      </c>
      <c r="B35" s="103" t="n">
        <f aca="false">B7/B25*(1-1_Inputs!$B$101/(7500000+1_Inputs!$B$101))</f>
        <v>0.0972023574457667</v>
      </c>
      <c r="C35" s="103" t="n">
        <f aca="false">B7/B25*(1-1_Inputs!$B$101/(10000000+1_Inputs!$B$101))</f>
        <v>0.102602488414976</v>
      </c>
      <c r="D35" s="103" t="n">
        <f aca="false">B7/B25*(1-1_Inputs!$B$101/(12000000+1_Inputs!$B$101))</f>
        <v>0.105533988083975</v>
      </c>
    </row>
    <row r="36" customFormat="false" ht="15" hidden="false" customHeight="true" outlineLevel="0" collapsed="false">
      <c r="A36" s="99" t="s">
        <v>783</v>
      </c>
      <c r="B36" s="101" t="n">
        <f aca="false">(1-B6/B25-B7/B25)*(1-1_Inputs!$B$101/(7500000+1_Inputs!$B$101))</f>
        <v>0.141458004626303</v>
      </c>
      <c r="C36" s="101" t="n">
        <f aca="false">(1-B6/B25-B7/B25)*(1-1_Inputs!$B$101/(10000000+1_Inputs!$B$101))</f>
        <v>0.149316782661098</v>
      </c>
      <c r="D36" s="101" t="n">
        <f aca="false">(1-B6/B25-B7/B25)*(1-1_Inputs!$B$101/(12000000+1_Inputs!$B$101))</f>
        <v>0.153582976451415</v>
      </c>
    </row>
    <row r="38" customFormat="false" ht="15" hidden="false" customHeight="true" outlineLevel="0" collapsed="false">
      <c r="A38" s="98" t="s">
        <v>784</v>
      </c>
      <c r="B38" s="98"/>
      <c r="C38" s="98"/>
      <c r="D38" s="98"/>
      <c r="E38" s="98"/>
    </row>
    <row r="39" customFormat="false" ht="15" hidden="false" customHeight="true" outlineLevel="0" collapsed="false">
      <c r="A39" s="105" t="s">
        <v>170</v>
      </c>
      <c r="B39" s="112" t="s">
        <v>773</v>
      </c>
      <c r="C39" s="112" t="s">
        <v>785</v>
      </c>
      <c r="D39" s="112" t="s">
        <v>786</v>
      </c>
      <c r="E39" s="112" t="s">
        <v>787</v>
      </c>
      <c r="F39" s="1" t="s">
        <v>788</v>
      </c>
    </row>
    <row r="40" customFormat="false" ht="15" hidden="false" customHeight="true" outlineLevel="0" collapsed="false">
      <c r="A40" s="57" t="s">
        <v>789</v>
      </c>
      <c r="B40" s="113" t="n">
        <f aca="false">7500000/B25*(1-1_Inputs!$B$104)</f>
        <v>0.837236249650454</v>
      </c>
      <c r="C40" s="113" t="n">
        <f aca="false">10000000/B25*(1-1_Inputs!$B$104)</f>
        <v>1.11631499953394</v>
      </c>
      <c r="D40" s="113" t="n">
        <f aca="false">12000000/B25*(1-1_Inputs!$B$104)</f>
        <v>1.33957799944073</v>
      </c>
      <c r="E40" s="113" t="n">
        <f aca="false">15000000/B25*(1-SAFE_DISCOUNT)</f>
        <v>1.67447249930091</v>
      </c>
      <c r="F40" s="1" t="s">
        <v>790</v>
      </c>
    </row>
    <row r="41" customFormat="false" ht="15" hidden="false" customHeight="true" outlineLevel="0" collapsed="false">
      <c r="A41" s="57" t="s">
        <v>791</v>
      </c>
      <c r="B41" s="113" t="n">
        <f aca="false">MIN(1_Inputs!$B$105/B25,7500000/B25*(1-1_Inputs!$B$104))</f>
        <v>0.837236249650454</v>
      </c>
      <c r="C41" s="113" t="n">
        <f aca="false">MIN(1_Inputs!$B$105/B25,10000000/B25*(1-1_Inputs!$B$104))</f>
        <v>1.11631499953394</v>
      </c>
      <c r="D41" s="113" t="n">
        <f aca="false">MIN(1_Inputs!$B$105/B25,12000000/B25*(1-1_Inputs!$B$104))</f>
        <v>1.33957799944073</v>
      </c>
      <c r="E41" s="113" t="n">
        <f aca="false">MIN(SAFE_VAL_CAP/B25,15000000/B25*(1-SAFE_DISCOUNT))</f>
        <v>1.39539374941742</v>
      </c>
      <c r="F41" s="1" t="s">
        <v>792</v>
      </c>
    </row>
    <row r="42" customFormat="false" ht="15" hidden="false" customHeight="true" outlineLevel="0" collapsed="false">
      <c r="A42" s="57" t="s">
        <v>793</v>
      </c>
      <c r="B42" s="113" t="n">
        <f aca="false">7500000/B25*(1-1_Inputs!$B$104)</f>
        <v>0.837236249650454</v>
      </c>
      <c r="C42" s="113" t="n">
        <f aca="false">10000000/B25*(1-1_Inputs!$B$104)</f>
        <v>1.11631499953394</v>
      </c>
      <c r="D42" s="113" t="n">
        <f aca="false">12000000/B25*(1-1_Inputs!$B$104)</f>
        <v>1.33957799944073</v>
      </c>
      <c r="E42" s="113" t="n">
        <f aca="false">15000000/B25*(1-SAFE_DISCOUNT)</f>
        <v>1.67447249930091</v>
      </c>
      <c r="F42" s="1" t="s">
        <v>794</v>
      </c>
    </row>
    <row r="44" customFormat="false" ht="15" hidden="false" customHeight="true" outlineLevel="0" collapsed="false">
      <c r="A44" s="98" t="s">
        <v>795</v>
      </c>
      <c r="B44" s="98"/>
      <c r="C44" s="98"/>
      <c r="D44" s="98"/>
      <c r="E44" s="98"/>
      <c r="F44" s="98"/>
      <c r="G44" s="98"/>
      <c r="H44" s="98"/>
      <c r="I44" s="98"/>
    </row>
    <row r="45" customFormat="false" ht="15" hidden="false" customHeight="true" outlineLevel="0" collapsed="false">
      <c r="A45" s="105" t="s">
        <v>796</v>
      </c>
      <c r="B45" s="112" t="s">
        <v>797</v>
      </c>
      <c r="C45" s="112" t="s">
        <v>798</v>
      </c>
      <c r="D45" s="112" t="s">
        <v>799</v>
      </c>
      <c r="E45" s="105" t="s">
        <v>800</v>
      </c>
    </row>
    <row r="46" customFormat="false" ht="15" hidden="false" customHeight="true" outlineLevel="0" collapsed="false">
      <c r="A46" s="57" t="s">
        <v>801</v>
      </c>
      <c r="B46" s="114" t="n">
        <f aca="false">MAX(ROUND(15000000*B33/RAISE_AMOUNT,1),1)</f>
        <v>1.6</v>
      </c>
      <c r="C46" s="114" t="n">
        <f aca="false">MAX(ROUND(25000000*B33/RAISE_AMOUNT,1),1)</f>
        <v>2.6</v>
      </c>
      <c r="D46" s="114" t="n">
        <f aca="false">MAX(ROUND(50000000*B33/RAISE_AMOUNT,1),1)</f>
        <v>5.3</v>
      </c>
      <c r="E46" s="72" t="s">
        <v>802</v>
      </c>
    </row>
    <row r="47" customFormat="false" ht="15" hidden="false" customHeight="true" outlineLevel="0" collapsed="false">
      <c r="A47" s="57" t="s">
        <v>803</v>
      </c>
      <c r="B47" s="114" t="n">
        <f aca="false">MAX(ROUND(15000000*C33/RAISE_AMOUNT,1),1)</f>
        <v>1.3</v>
      </c>
      <c r="C47" s="114" t="n">
        <f aca="false">MAX(ROUND(25000000*C33/RAISE_AMOUNT,1),1)</f>
        <v>2.1</v>
      </c>
      <c r="D47" s="114" t="n">
        <f aca="false">MAX(ROUND(50000000*C33/RAISE_AMOUNT,1),1)</f>
        <v>4.2</v>
      </c>
      <c r="E47" s="72" t="s">
        <v>802</v>
      </c>
    </row>
    <row r="48" customFormat="false" ht="15" hidden="false" customHeight="true" outlineLevel="0" collapsed="false">
      <c r="A48" s="57" t="s">
        <v>804</v>
      </c>
      <c r="B48" s="114" t="n">
        <f aca="false">MAX(ROUND(15000000*D33/RAISE_AMOUNT,1),1)</f>
        <v>1.1</v>
      </c>
      <c r="C48" s="114" t="n">
        <f aca="false">MAX(ROUND(25000000*D33/RAISE_AMOUNT,1),1)</f>
        <v>1.8</v>
      </c>
      <c r="D48" s="114" t="n">
        <f aca="false">MAX(ROUND(50000000*D33/RAISE_AMOUNT,1),1)</f>
        <v>3.6</v>
      </c>
      <c r="E48" s="72" t="s">
        <v>802</v>
      </c>
    </row>
    <row r="50" customFormat="false" ht="15" hidden="false" customHeight="true" outlineLevel="0" collapsed="false">
      <c r="A50" s="97" t="s">
        <v>805</v>
      </c>
      <c r="B50" s="97"/>
      <c r="C50" s="97"/>
      <c r="D50" s="97"/>
      <c r="E50" s="97"/>
      <c r="F50" s="97"/>
      <c r="G50" s="97"/>
      <c r="H50" s="97"/>
      <c r="I50" s="97"/>
    </row>
    <row r="51" customFormat="false" ht="15" hidden="false" customHeight="true" outlineLevel="0" collapsed="false">
      <c r="A51" s="97" t="s">
        <v>806</v>
      </c>
      <c r="B51" s="97"/>
      <c r="C51" s="97"/>
      <c r="D51" s="97"/>
      <c r="E51" s="97"/>
      <c r="F51" s="97"/>
      <c r="G51" s="97"/>
      <c r="H51" s="97"/>
      <c r="I51" s="97"/>
    </row>
    <row r="53" customFormat="false" ht="15" hidden="false" customHeight="true" outlineLevel="0" collapsed="false">
      <c r="A53" s="98" t="s">
        <v>807</v>
      </c>
      <c r="B53" s="98"/>
      <c r="C53" s="98"/>
      <c r="D53" s="98"/>
      <c r="E53" s="98"/>
      <c r="F53" s="98"/>
      <c r="G53" s="98"/>
      <c r="H53" s="98"/>
      <c r="I53" s="98"/>
    </row>
    <row r="54" customFormat="false" ht="15" hidden="false" customHeight="true" outlineLevel="0" collapsed="false">
      <c r="A54" s="105" t="s">
        <v>808</v>
      </c>
      <c r="B54" s="112" t="s">
        <v>809</v>
      </c>
      <c r="C54" s="112" t="s">
        <v>810</v>
      </c>
      <c r="D54" s="112" t="s">
        <v>811</v>
      </c>
    </row>
    <row r="55" customFormat="false" ht="15" hidden="false" customHeight="true" outlineLevel="0" collapsed="false">
      <c r="A55" s="99" t="s">
        <v>328</v>
      </c>
      <c r="B55" s="102" t="n">
        <f aca="false">5_CF!B18</f>
        <v>0</v>
      </c>
      <c r="C55" s="102" t="n">
        <f aca="false">5_CF!B18</f>
        <v>0</v>
      </c>
      <c r="D55" s="115" t="str">
        <f aca="false">IF(ABS(B55-C55)&lt;1,"✓ MATCH","✗ GAP")</f>
        <v>✓ MATCH</v>
      </c>
    </row>
    <row r="56" customFormat="false" ht="15" hidden="false" customHeight="true" outlineLevel="0" collapsed="false">
      <c r="A56" s="57" t="s">
        <v>329</v>
      </c>
      <c r="B56" s="104" t="n">
        <f aca="false">5_CF!C18</f>
        <v>0</v>
      </c>
      <c r="C56" s="104" t="n">
        <f aca="false">6_BS!C30-6_BS!B30</f>
        <v>0</v>
      </c>
      <c r="D56" s="116" t="str">
        <f aca="false">IF(ABS(B56-C56)&lt;1,"✓ MATCH","✗ GAP")</f>
        <v>✓ MATCH</v>
      </c>
    </row>
    <row r="57" customFormat="false" ht="15" hidden="false" customHeight="true" outlineLevel="0" collapsed="false">
      <c r="A57" s="99" t="s">
        <v>330</v>
      </c>
      <c r="B57" s="102" t="n">
        <f aca="false">5_CF!D18</f>
        <v>250000</v>
      </c>
      <c r="C57" s="102" t="n">
        <f aca="false">6_BS!D30-6_BS!C30</f>
        <v>250000</v>
      </c>
      <c r="D57" s="115" t="str">
        <f aca="false">IF(ABS(B57-C57)&lt;1,"✓ MATCH","✗ GAP")</f>
        <v>✓ MATCH</v>
      </c>
    </row>
    <row r="58" customFormat="false" ht="15" hidden="false" customHeight="true" outlineLevel="0" collapsed="false">
      <c r="A58" s="57" t="s">
        <v>331</v>
      </c>
      <c r="B58" s="104" t="n">
        <f aca="false">5_CF!E18</f>
        <v>0</v>
      </c>
      <c r="C58" s="104" t="n">
        <f aca="false">6_BS!E30-6_BS!D30</f>
        <v>0</v>
      </c>
      <c r="D58" s="116" t="str">
        <f aca="false">IF(ABS(B58-C58)&lt;1,"✓ MATCH","✗ GAP")</f>
        <v>✓ MATCH</v>
      </c>
    </row>
    <row r="59" customFormat="false" ht="15" hidden="false" customHeight="true" outlineLevel="0" collapsed="false">
      <c r="A59" s="99" t="s">
        <v>332</v>
      </c>
      <c r="B59" s="102" t="n">
        <f aca="false">5_CF!F18</f>
        <v>0</v>
      </c>
      <c r="C59" s="102" t="n">
        <f aca="false">6_BS!F30-6_BS!E30</f>
        <v>0</v>
      </c>
      <c r="D59" s="115" t="str">
        <f aca="false">IF(ABS(B59-C59)&lt;1,"✓ MATCH","✗ GAP")</f>
        <v>✓ MATCH</v>
      </c>
    </row>
    <row r="60" customFormat="false" ht="15" hidden="false" customHeight="true" outlineLevel="0" collapsed="false">
      <c r="A60" s="57" t="s">
        <v>333</v>
      </c>
      <c r="B60" s="104" t="n">
        <f aca="false">5_CF!G18</f>
        <v>500000</v>
      </c>
      <c r="C60" s="104" t="n">
        <f aca="false">6_BS!G30-6_BS!F30</f>
        <v>500000</v>
      </c>
      <c r="D60" s="116" t="str">
        <f aca="false">IF(ABS(B60-C60)&lt;1,"✓ MATCH","✗ GAP")</f>
        <v>✓ MATCH</v>
      </c>
    </row>
    <row r="61" customFormat="false" ht="15" hidden="false" customHeight="true" outlineLevel="0" collapsed="false">
      <c r="A61" s="99" t="s">
        <v>334</v>
      </c>
      <c r="B61" s="102" t="n">
        <f aca="false">5_CF!H18</f>
        <v>0</v>
      </c>
      <c r="C61" s="102" t="n">
        <f aca="false">6_BS!H30-6_BS!G30</f>
        <v>0</v>
      </c>
      <c r="D61" s="115" t="str">
        <f aca="false">IF(ABS(B61-C61)&lt;1,"✓ MATCH","✗ GAP")</f>
        <v>✓ MATCH</v>
      </c>
    </row>
    <row r="62" customFormat="false" ht="15" hidden="false" customHeight="true" outlineLevel="0" collapsed="false">
      <c r="A62" s="57" t="s">
        <v>335</v>
      </c>
      <c r="B62" s="104" t="n">
        <f aca="false">5_CF!I18</f>
        <v>0</v>
      </c>
      <c r="C62" s="104" t="n">
        <f aca="false">6_BS!I30-6_BS!H30</f>
        <v>0</v>
      </c>
      <c r="D62" s="116" t="str">
        <f aca="false">IF(ABS(B62-C62)&lt;1,"✓ MATCH","✗ GAP")</f>
        <v>✓ MATCH</v>
      </c>
    </row>
    <row r="63" customFormat="false" ht="15" hidden="false" customHeight="true" outlineLevel="0" collapsed="false">
      <c r="A63" s="99" t="s">
        <v>336</v>
      </c>
      <c r="B63" s="102" t="n">
        <f aca="false">5_CF!J18</f>
        <v>0</v>
      </c>
      <c r="C63" s="102" t="n">
        <f aca="false">6_BS!J30-6_BS!I30</f>
        <v>0</v>
      </c>
      <c r="D63" s="115" t="str">
        <f aca="false">IF(ABS(B63-C63)&lt;1,"✓ MATCH","✗ GAP")</f>
        <v>✓ MATCH</v>
      </c>
    </row>
    <row r="64" customFormat="false" ht="15" hidden="false" customHeight="true" outlineLevel="0" collapsed="false">
      <c r="A64" s="57" t="s">
        <v>337</v>
      </c>
      <c r="B64" s="104" t="n">
        <f aca="false">5_CF!K18</f>
        <v>0</v>
      </c>
      <c r="C64" s="104" t="n">
        <f aca="false">6_BS!K30-6_BS!J30</f>
        <v>0</v>
      </c>
      <c r="D64" s="116" t="str">
        <f aca="false">IF(ABS(B64-C64)&lt;1,"✓ MATCH","✗ GAP")</f>
        <v>✓ MATCH</v>
      </c>
    </row>
    <row r="65" customFormat="false" ht="15" hidden="false" customHeight="true" outlineLevel="0" collapsed="false">
      <c r="A65" s="99" t="s">
        <v>338</v>
      </c>
      <c r="B65" s="102" t="n">
        <f aca="false">5_CF!L18</f>
        <v>0</v>
      </c>
      <c r="C65" s="102" t="n">
        <f aca="false">6_BS!L30-6_BS!K30</f>
        <v>0</v>
      </c>
      <c r="D65" s="115" t="str">
        <f aca="false">IF(ABS(B65-C65)&lt;1,"✓ MATCH","✗ GAP")</f>
        <v>✓ MATCH</v>
      </c>
    </row>
    <row r="66" customFormat="false" ht="15" hidden="false" customHeight="true" outlineLevel="0" collapsed="false">
      <c r="A66" s="57" t="s">
        <v>339</v>
      </c>
      <c r="B66" s="104" t="n">
        <f aca="false">5_CF!M18</f>
        <v>0</v>
      </c>
      <c r="C66" s="104" t="n">
        <f aca="false">6_BS!M30-6_BS!L30</f>
        <v>0</v>
      </c>
      <c r="D66" s="116" t="str">
        <f aca="false">IF(ABS(B66-C66)&lt;1,"✓ MATCH","✗ GAP")</f>
        <v>✓ MATCH</v>
      </c>
    </row>
    <row r="67" customFormat="false" ht="15" hidden="false" customHeight="true" outlineLevel="0" collapsed="false">
      <c r="A67" s="99" t="s">
        <v>340</v>
      </c>
      <c r="B67" s="102" t="n">
        <f aca="false">5_CF!N18</f>
        <v>0</v>
      </c>
      <c r="C67" s="102" t="n">
        <f aca="false">6_BS!N30-6_BS!M30</f>
        <v>0</v>
      </c>
      <c r="D67" s="115" t="str">
        <f aca="false">IF(ABS(B67-C67)&lt;1,"✓ MATCH","✗ GAP")</f>
        <v>✓ MATCH</v>
      </c>
    </row>
    <row r="68" customFormat="false" ht="15" hidden="false" customHeight="true" outlineLevel="0" collapsed="false">
      <c r="A68" s="57" t="s">
        <v>341</v>
      </c>
      <c r="B68" s="104" t="n">
        <f aca="false">5_CF!O18</f>
        <v>0</v>
      </c>
      <c r="C68" s="104" t="n">
        <f aca="false">6_BS!O30-6_BS!N30</f>
        <v>0</v>
      </c>
      <c r="D68" s="116" t="str">
        <f aca="false">IF(ABS(B68-C68)&lt;1,"✓ MATCH","✗ GAP")</f>
        <v>✓ MATCH</v>
      </c>
    </row>
    <row r="69" customFormat="false" ht="15" hidden="false" customHeight="true" outlineLevel="0" collapsed="false">
      <c r="A69" s="99" t="s">
        <v>342</v>
      </c>
      <c r="B69" s="102" t="n">
        <f aca="false">5_CF!P18</f>
        <v>0</v>
      </c>
      <c r="C69" s="102" t="n">
        <f aca="false">6_BS!P30-6_BS!O30</f>
        <v>0</v>
      </c>
      <c r="D69" s="115" t="str">
        <f aca="false">IF(ABS(B69-C69)&lt;1,"✓ MATCH","✗ GAP")</f>
        <v>✓ MATCH</v>
      </c>
    </row>
    <row r="70" customFormat="false" ht="15" hidden="false" customHeight="true" outlineLevel="0" collapsed="false">
      <c r="A70" s="57" t="s">
        <v>343</v>
      </c>
      <c r="B70" s="104" t="n">
        <f aca="false">5_CF!Q18</f>
        <v>0</v>
      </c>
      <c r="C70" s="104" t="n">
        <f aca="false">6_BS!Q30-6_BS!P30</f>
        <v>0</v>
      </c>
      <c r="D70" s="116" t="str">
        <f aca="false">IF(ABS(B70-C70)&lt;1,"✓ MATCH","✗ GAP")</f>
        <v>✓ MATCH</v>
      </c>
    </row>
    <row r="71" customFormat="false" ht="15" hidden="false" customHeight="true" outlineLevel="0" collapsed="false">
      <c r="A71" s="99" t="s">
        <v>344</v>
      </c>
      <c r="B71" s="102" t="n">
        <f aca="false">5_CF!R18</f>
        <v>0</v>
      </c>
      <c r="C71" s="102" t="n">
        <f aca="false">6_BS!R30-6_BS!Q30</f>
        <v>0</v>
      </c>
      <c r="D71" s="115" t="str">
        <f aca="false">IF(ABS(B71-C71)&lt;1,"✓ MATCH","✗ GAP")</f>
        <v>✓ MATCH</v>
      </c>
    </row>
    <row r="72" customFormat="false" ht="15" hidden="false" customHeight="true" outlineLevel="0" collapsed="false">
      <c r="A72" s="57" t="s">
        <v>345</v>
      </c>
      <c r="B72" s="104" t="n">
        <f aca="false">5_CF!S18</f>
        <v>0</v>
      </c>
      <c r="C72" s="104" t="n">
        <f aca="false">6_BS!S30-6_BS!R30</f>
        <v>0</v>
      </c>
      <c r="D72" s="116" t="str">
        <f aca="false">IF(ABS(B72-C72)&lt;1,"✓ MATCH","✗ GAP")</f>
        <v>✓ MATCH</v>
      </c>
    </row>
    <row r="74" customFormat="false" ht="15" hidden="false" customHeight="true" outlineLevel="0" collapsed="false">
      <c r="A74" s="56" t="s">
        <v>812</v>
      </c>
      <c r="B74" s="56"/>
      <c r="C74" s="56"/>
      <c r="D74" s="56"/>
      <c r="E74" s="56"/>
      <c r="F74" s="56"/>
      <c r="G74" s="56"/>
      <c r="H74" s="56"/>
      <c r="I74" s="56"/>
    </row>
    <row r="75" customFormat="false" ht="15" hidden="false" customHeight="true" outlineLevel="0" collapsed="false">
      <c r="A75" s="105" t="s">
        <v>326</v>
      </c>
      <c r="B75" s="105" t="s">
        <v>813</v>
      </c>
      <c r="C75" s="112" t="s">
        <v>328</v>
      </c>
      <c r="D75" s="112" t="s">
        <v>329</v>
      </c>
      <c r="E75" s="112" t="s">
        <v>330</v>
      </c>
      <c r="F75" s="112" t="s">
        <v>331</v>
      </c>
      <c r="G75" s="112" t="s">
        <v>332</v>
      </c>
      <c r="H75" s="112" t="s">
        <v>333</v>
      </c>
      <c r="I75" s="112" t="s">
        <v>334</v>
      </c>
    </row>
    <row r="76" customFormat="false" ht="15" hidden="false" customHeight="true" outlineLevel="0" collapsed="false">
      <c r="A76" s="16" t="s">
        <v>347</v>
      </c>
      <c r="B76" s="57" t="s">
        <v>814</v>
      </c>
      <c r="C76" s="116" t="str">
        <f aca="false">6_BS!B37</f>
        <v>BALANCED</v>
      </c>
      <c r="D76" s="116" t="str">
        <f aca="false">6_BS!C37</f>
        <v>BALANCED</v>
      </c>
      <c r="E76" s="116" t="str">
        <f aca="false">6_BS!D37</f>
        <v>BALANCED</v>
      </c>
      <c r="F76" s="116" t="str">
        <f aca="false">6_BS!E37</f>
        <v>BALANCED</v>
      </c>
      <c r="G76" s="116" t="str">
        <f aca="false">6_BS!F37</f>
        <v>BALANCED</v>
      </c>
      <c r="H76" s="116" t="str">
        <f aca="false">6_BS!G37</f>
        <v>BALANCED</v>
      </c>
      <c r="I76" s="116" t="str">
        <f aca="false">6_BS!H37</f>
        <v>BALANCED</v>
      </c>
    </row>
    <row r="77" customFormat="false" ht="15" hidden="false" customHeight="true" outlineLevel="0" collapsed="false">
      <c r="A77" s="16" t="s">
        <v>369</v>
      </c>
      <c r="B77" s="57" t="s">
        <v>815</v>
      </c>
      <c r="C77" s="116" t="str">
        <f aca="false">IF(ABS(5_CF!B18-5_CF!B18)&lt;1,"PASS","FAIL")</f>
        <v>PASS</v>
      </c>
      <c r="D77" s="116" t="str">
        <f aca="false">IF(ABS(6_BS!C30-6_BS!B30-5_CF!C18)&lt;1,"PASS","FAIL")</f>
        <v>PASS</v>
      </c>
      <c r="E77" s="116" t="str">
        <f aca="false">IF(ABS(6_BS!D30-6_BS!C30-5_CF!D18)&lt;1,"PASS","FAIL")</f>
        <v>PASS</v>
      </c>
      <c r="F77" s="116" t="str">
        <f aca="false">IF(ABS(6_BS!E30-6_BS!D30-5_CF!E18)&lt;1,"PASS","FAIL")</f>
        <v>PASS</v>
      </c>
      <c r="G77" s="116" t="str">
        <f aca="false">IF(ABS(6_BS!F30-6_BS!E30-5_CF!F18)&lt;1,"PASS","FAIL")</f>
        <v>PASS</v>
      </c>
      <c r="H77" s="116" t="str">
        <f aca="false">IF(ABS(6_BS!G30-6_BS!F30-5_CF!G18)&lt;1,"PASS","FAIL")</f>
        <v>PASS</v>
      </c>
      <c r="I77" s="116" t="str">
        <f aca="false">IF(ABS(6_BS!H30-6_BS!G30-5_CF!H18)&lt;1,"PASS","FAIL")</f>
        <v>PASS</v>
      </c>
    </row>
  </sheetData>
  <mergeCells count="11">
    <mergeCell ref="A1:I1"/>
    <mergeCell ref="A2:I2"/>
    <mergeCell ref="A4:I4"/>
    <mergeCell ref="A27:I27"/>
    <mergeCell ref="A28:I28"/>
    <mergeCell ref="A38:E38"/>
    <mergeCell ref="A44:I44"/>
    <mergeCell ref="A50:I50"/>
    <mergeCell ref="A51:I51"/>
    <mergeCell ref="A53:I53"/>
    <mergeCell ref="A74:I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117" t="s">
        <v>816</v>
      </c>
      <c r="B1" s="117"/>
      <c r="C1" s="117"/>
      <c r="D1" s="117"/>
    </row>
    <row r="2" customFormat="false" ht="15.75" hidden="false" customHeight="true" outlineLevel="0" collapsed="false">
      <c r="A2" s="118" t="s">
        <v>817</v>
      </c>
      <c r="B2" s="118"/>
      <c r="C2" s="118"/>
      <c r="D2" s="118"/>
    </row>
    <row r="3" customFormat="false" ht="15" hidden="false" customHeight="true" outlineLevel="0" collapsed="false">
      <c r="A3" s="72" t="s">
        <v>818</v>
      </c>
    </row>
    <row r="4" customFormat="false" ht="18" hidden="false" customHeight="true" outlineLevel="0" collapsed="false">
      <c r="A4" s="60" t="s">
        <v>819</v>
      </c>
      <c r="B4" s="60"/>
      <c r="C4" s="60"/>
      <c r="D4" s="60"/>
    </row>
    <row r="5" customFormat="false" ht="19.5" hidden="false" customHeight="true" outlineLevel="0" collapsed="false">
      <c r="A5" s="119" t="s">
        <v>820</v>
      </c>
      <c r="B5" s="120" t="s">
        <v>821</v>
      </c>
      <c r="C5" s="119" t="s">
        <v>822</v>
      </c>
      <c r="D5" s="121" t="s">
        <v>823</v>
      </c>
      <c r="E5" s="119" t="s">
        <v>824</v>
      </c>
      <c r="F5" s="122" t="s">
        <v>825</v>
      </c>
    </row>
    <row r="6" customFormat="false" ht="16.5" hidden="false" customHeight="true" outlineLevel="0" collapsed="false">
      <c r="A6" s="123" t="s">
        <v>826</v>
      </c>
      <c r="B6" s="124" t="n">
        <v>6</v>
      </c>
      <c r="C6" s="125" t="n">
        <v>13</v>
      </c>
      <c r="D6" s="126" t="n">
        <v>20</v>
      </c>
      <c r="E6" s="127" t="s">
        <v>827</v>
      </c>
      <c r="F6" s="128" t="n">
        <v>30</v>
      </c>
    </row>
    <row r="7" customFormat="false" ht="16.5" hidden="false" customHeight="true" outlineLevel="0" collapsed="false">
      <c r="A7" s="129" t="s">
        <v>317</v>
      </c>
      <c r="B7" s="130" t="n">
        <v>0.5</v>
      </c>
      <c r="C7" s="131" t="n">
        <v>0.7</v>
      </c>
      <c r="D7" s="132" t="n">
        <v>0.85</v>
      </c>
      <c r="E7" s="127" t="s">
        <v>828</v>
      </c>
      <c r="F7" s="133" t="n">
        <v>0.85</v>
      </c>
    </row>
    <row r="8" customFormat="false" ht="16.5" hidden="false" customHeight="true" outlineLevel="0" collapsed="false">
      <c r="A8" s="123" t="s">
        <v>829</v>
      </c>
      <c r="B8" s="124" t="n">
        <v>18</v>
      </c>
      <c r="C8" s="125" t="n">
        <v>22</v>
      </c>
      <c r="D8" s="126" t="n">
        <v>28</v>
      </c>
      <c r="E8" s="127" t="s">
        <v>830</v>
      </c>
      <c r="F8" s="128" t="n">
        <v>28</v>
      </c>
    </row>
    <row r="9" customFormat="false" ht="16.5" hidden="false" customHeight="true" outlineLevel="0" collapsed="false">
      <c r="A9" s="134" t="s">
        <v>388</v>
      </c>
      <c r="B9" s="135" t="n">
        <v>260</v>
      </c>
      <c r="C9" s="136" t="n">
        <v>285</v>
      </c>
      <c r="D9" s="137" t="n">
        <v>310</v>
      </c>
      <c r="E9" s="127" t="s">
        <v>831</v>
      </c>
      <c r="F9" s="138" t="n">
        <v>285</v>
      </c>
    </row>
    <row r="10" customFormat="false" ht="16.5" hidden="false" customHeight="true" outlineLevel="0" collapsed="false">
      <c r="A10" s="134" t="s">
        <v>832</v>
      </c>
      <c r="B10" s="135" t="n">
        <v>165</v>
      </c>
      <c r="C10" s="136" t="n">
        <v>152</v>
      </c>
      <c r="D10" s="137" t="n">
        <v>140</v>
      </c>
      <c r="E10" s="127" t="s">
        <v>833</v>
      </c>
      <c r="F10" s="138" t="n">
        <v>152</v>
      </c>
    </row>
    <row r="11" customFormat="false" ht="16.5" hidden="false" customHeight="true" outlineLevel="0" collapsed="false">
      <c r="A11" s="123" t="s">
        <v>834</v>
      </c>
      <c r="B11" s="124" t="n">
        <v>3</v>
      </c>
      <c r="C11" s="125" t="n">
        <v>2</v>
      </c>
      <c r="D11" s="126" t="n">
        <v>1</v>
      </c>
      <c r="E11" s="127" t="s">
        <v>835</v>
      </c>
      <c r="F11" s="128" t="n">
        <v>1</v>
      </c>
    </row>
    <row r="12" customFormat="false" ht="16.5" hidden="false" customHeight="true" outlineLevel="0" collapsed="false">
      <c r="A12" s="123" t="s">
        <v>426</v>
      </c>
      <c r="B12" s="124" t="n">
        <v>5</v>
      </c>
      <c r="C12" s="125" t="n">
        <v>4</v>
      </c>
      <c r="D12" s="126" t="n">
        <v>4</v>
      </c>
      <c r="E12" s="127" t="s">
        <v>836</v>
      </c>
      <c r="F12" s="128" t="n">
        <v>4</v>
      </c>
    </row>
    <row r="13" customFormat="false" ht="16.5" hidden="false" customHeight="true" outlineLevel="0" collapsed="false">
      <c r="A13" s="129" t="s">
        <v>837</v>
      </c>
      <c r="B13" s="130" t="n">
        <v>0.15</v>
      </c>
      <c r="C13" s="131" t="n">
        <v>0.1</v>
      </c>
      <c r="D13" s="132" t="n">
        <v>0.05</v>
      </c>
      <c r="E13" s="127" t="s">
        <v>838</v>
      </c>
      <c r="F13" s="133" t="n">
        <v>0.05</v>
      </c>
    </row>
    <row r="14" customFormat="false" ht="16.5" hidden="false" customHeight="true" outlineLevel="0" collapsed="false">
      <c r="A14" s="123" t="s">
        <v>839</v>
      </c>
      <c r="B14" s="124" t="n">
        <v>0</v>
      </c>
      <c r="C14" s="125" t="n">
        <v>0</v>
      </c>
      <c r="D14" s="126" t="n">
        <v>1</v>
      </c>
      <c r="E14" s="127" t="s">
        <v>840</v>
      </c>
      <c r="F14" s="139" t="n">
        <v>1</v>
      </c>
    </row>
    <row r="15" customFormat="false" ht="16.5" hidden="false" customHeight="true" outlineLevel="0" collapsed="false">
      <c r="A15" s="123" t="s">
        <v>841</v>
      </c>
      <c r="B15" s="124" t="n">
        <v>0</v>
      </c>
      <c r="C15" s="125" t="n">
        <v>0</v>
      </c>
      <c r="D15" s="126" t="n">
        <v>1</v>
      </c>
      <c r="E15" s="127" t="s">
        <v>842</v>
      </c>
      <c r="F15" s="139" t="n">
        <v>1</v>
      </c>
    </row>
    <row r="18" customFormat="false" ht="18" hidden="false" customHeight="true" outlineLevel="0" collapsed="false">
      <c r="A18" s="60" t="s">
        <v>843</v>
      </c>
      <c r="B18" s="60"/>
      <c r="C18" s="60"/>
      <c r="D18" s="60"/>
    </row>
    <row r="19" customFormat="false" ht="18" hidden="false" customHeight="true" outlineLevel="0" collapsed="false">
      <c r="A19" s="119" t="s">
        <v>844</v>
      </c>
      <c r="B19" s="119" t="s">
        <v>821</v>
      </c>
      <c r="C19" s="119" t="s">
        <v>822</v>
      </c>
      <c r="D19" s="119" t="s">
        <v>823</v>
      </c>
    </row>
    <row r="20" customFormat="false" ht="16.5" hidden="false" customHeight="true" outlineLevel="0" collapsed="false">
      <c r="A20" s="140" t="s">
        <v>845</v>
      </c>
      <c r="B20" s="141"/>
      <c r="C20" s="142" t="n">
        <f aca="false">MIN(5_CF!C24:S24)</f>
        <v>-50803</v>
      </c>
      <c r="D20" s="141"/>
    </row>
    <row r="21" customFormat="false" ht="16.5" hidden="false" customHeight="true" outlineLevel="0" collapsed="false">
      <c r="A21" s="140" t="s">
        <v>846</v>
      </c>
      <c r="B21" s="143"/>
      <c r="C21" s="144" t="n">
        <f aca="false">IFERROR(MATCH(TRUE(),SIGN(3_IS!C19:S19)=1,0)+1,"Never")</f>
        <v>5</v>
      </c>
      <c r="D21" s="143"/>
    </row>
    <row r="22" customFormat="false" ht="16.5" hidden="false" customHeight="true" outlineLevel="0" collapsed="false">
      <c r="A22" s="140" t="s">
        <v>847</v>
      </c>
      <c r="B22" s="141"/>
      <c r="C22" s="142" t="n">
        <f aca="false">SUM(3_IS!C6:N6)</f>
        <v>739784</v>
      </c>
      <c r="D22" s="141"/>
    </row>
    <row r="23" customFormat="false" ht="16.5" hidden="false" customHeight="true" outlineLevel="0" collapsed="false">
      <c r="A23" s="140" t="s">
        <v>848</v>
      </c>
      <c r="B23" s="141"/>
      <c r="C23" s="142" t="n">
        <f aca="false">3_IS!S19</f>
        <v>539319.874613959</v>
      </c>
      <c r="D23" s="141"/>
    </row>
    <row r="24" customFormat="false" ht="16.5" hidden="false" customHeight="true" outlineLevel="0" collapsed="false">
      <c r="A24" s="140" t="s">
        <v>849</v>
      </c>
      <c r="B24" s="141"/>
      <c r="C24" s="142" t="n">
        <f aca="false">5_CF!S24</f>
        <v>1164200</v>
      </c>
      <c r="D24" s="141"/>
    </row>
    <row r="26" customFormat="false" ht="31.5" hidden="false" customHeight="true" outlineLevel="0" collapsed="false">
      <c r="A26" s="145" t="s">
        <v>850</v>
      </c>
      <c r="B26" s="145"/>
      <c r="C26" s="145"/>
      <c r="D26" s="145"/>
    </row>
    <row r="28" customFormat="false" ht="18" hidden="false" customHeight="true" outlineLevel="0" collapsed="false">
      <c r="A28" s="60" t="s">
        <v>851</v>
      </c>
      <c r="B28" s="60"/>
      <c r="C28" s="60"/>
      <c r="D28" s="60"/>
    </row>
    <row r="29" customFormat="false" ht="13.5" hidden="false" customHeight="true" outlineLevel="0" collapsed="false">
      <c r="A29" s="146" t="s">
        <v>852</v>
      </c>
      <c r="B29" s="146"/>
      <c r="C29" s="146"/>
      <c r="D29" s="146"/>
    </row>
    <row r="30" customFormat="false" ht="18" hidden="false" customHeight="true" outlineLevel="0" collapsed="false">
      <c r="A30" s="76" t="s">
        <v>853</v>
      </c>
      <c r="B30" s="147" t="str">
        <f aca="false">IF(SUMPRODUCT(((6_BS!B37&lt;&gt;"BALANCED")*1+(6_BS!C37&lt;&gt;"BALANCED")*1+(6_BS!D37&lt;&gt;"BALANCED")*1+(6_BS!E37&lt;&gt;"BALANCED")*1+(6_BS!F37&lt;&gt;"BALANCED")*1+(6_BS!G37&lt;&gt;"BALANCED")*1+(6_BS!H37&lt;&gt;"BALANCED")*1+(6_BS!I37&lt;&gt;"BALANCED")*1+(6_BS!J37&lt;&gt;"BALANCED")*1+(6_BS!K37&lt;&gt;"BALANCED")*1+(6_BS!L37&lt;&gt;"BALANCED")*1+(6_BS!M37&lt;&gt;"BALANCED")*1+(6_BS!N37&lt;&gt;"BALANCED")*1+(6_BS!O37&lt;&gt;"BALANCED")*1+(6_BS!P37&lt;&gt;"BALANCED")*1+(6_BS!Q37&lt;&gt;"BALANCED")*1+(6_BS!R37&lt;&gt;"BALANCED")*1+(6_BS!S37&lt;&gt;"BALANCED")*1))=0,"✅ ALL 18 MONTHS BALANCED","❌ CHECK 6_BS ROW 37")</f>
        <v>✅ ALL 18 MONTHS BALANCED</v>
      </c>
      <c r="C30" s="147"/>
      <c r="D30" s="147"/>
    </row>
  </sheetData>
  <mergeCells count="8">
    <mergeCell ref="A1:D1"/>
    <mergeCell ref="A2:D2"/>
    <mergeCell ref="A4:D4"/>
    <mergeCell ref="A18:D18"/>
    <mergeCell ref="A26:D26"/>
    <mergeCell ref="A28:D28"/>
    <mergeCell ref="A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5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21.75" hidden="false" customHeight="true" outlineLevel="0" collapsed="false">
      <c r="A1" s="117" t="s">
        <v>854</v>
      </c>
      <c r="B1" s="117"/>
      <c r="C1" s="117"/>
      <c r="D1" s="117"/>
      <c r="E1" s="117"/>
      <c r="F1" s="117"/>
      <c r="G1" s="117"/>
    </row>
    <row r="2" customFormat="false" ht="15.75" hidden="false" customHeight="true" outlineLevel="0" collapsed="false">
      <c r="A2" s="118" t="s">
        <v>855</v>
      </c>
      <c r="B2" s="118"/>
      <c r="C2" s="118"/>
      <c r="D2" s="118"/>
      <c r="E2" s="118"/>
      <c r="F2" s="118"/>
      <c r="G2" s="118"/>
    </row>
    <row r="4" customFormat="false" ht="18" hidden="false" customHeight="true" outlineLevel="0" collapsed="false">
      <c r="A4" s="60" t="s">
        <v>856</v>
      </c>
      <c r="B4" s="60"/>
      <c r="C4" s="60"/>
      <c r="D4" s="60"/>
      <c r="E4" s="60"/>
      <c r="F4" s="60"/>
      <c r="G4" s="60"/>
    </row>
    <row r="5" customFormat="false" ht="18" hidden="false" customHeight="true" outlineLevel="0" collapsed="false">
      <c r="A5" s="148" t="s">
        <v>857</v>
      </c>
      <c r="B5" s="149" t="n">
        <f aca="false">MIN(5_CF!C24:S24)</f>
        <v>-50803</v>
      </c>
      <c r="D5" s="148" t="s">
        <v>858</v>
      </c>
      <c r="E5" s="149" t="n">
        <f aca="false">SUM(3_IS!C6:N6)</f>
        <v>739784</v>
      </c>
    </row>
    <row r="6" customFormat="false" ht="15" hidden="false" customHeight="true" outlineLevel="0" collapsed="false">
      <c r="A6" s="150" t="s">
        <v>859</v>
      </c>
      <c r="B6" s="149" t="n">
        <f aca="false">3_IS!S19</f>
        <v>539319.874613959</v>
      </c>
    </row>
    <row r="8" customFormat="false" ht="18" hidden="false" customHeight="true" outlineLevel="0" collapsed="false">
      <c r="A8" s="60" t="s">
        <v>860</v>
      </c>
      <c r="B8" s="60"/>
      <c r="C8" s="60"/>
      <c r="D8" s="60"/>
      <c r="E8" s="60"/>
      <c r="F8" s="60"/>
      <c r="G8" s="60"/>
    </row>
    <row r="9" customFormat="false" ht="18" hidden="false" customHeight="true" outlineLevel="0" collapsed="false">
      <c r="A9" s="119" t="s">
        <v>861</v>
      </c>
      <c r="B9" s="119" t="s">
        <v>862</v>
      </c>
      <c r="C9" s="119" t="s">
        <v>863</v>
      </c>
      <c r="D9" s="119" t="s">
        <v>864</v>
      </c>
      <c r="E9" s="119" t="s">
        <v>865</v>
      </c>
      <c r="F9" s="119" t="s">
        <v>866</v>
      </c>
      <c r="G9" s="119" t="s">
        <v>867</v>
      </c>
    </row>
    <row r="10" customFormat="false" ht="13.5" hidden="false" customHeight="true" outlineLevel="0" collapsed="false">
      <c r="A10" s="118" t="s">
        <v>868</v>
      </c>
      <c r="B10" s="118"/>
      <c r="C10" s="118"/>
      <c r="D10" s="118"/>
      <c r="E10" s="118"/>
      <c r="F10" s="118"/>
      <c r="G10" s="118"/>
    </row>
    <row r="11" customFormat="false" ht="15.75" hidden="false" customHeight="true" outlineLevel="0" collapsed="false">
      <c r="A11" s="151" t="s">
        <v>869</v>
      </c>
      <c r="B11" s="151"/>
      <c r="C11" s="151"/>
      <c r="D11" s="151"/>
      <c r="E11" s="151"/>
      <c r="F11" s="151"/>
      <c r="G11" s="151"/>
    </row>
    <row r="12" customFormat="false" ht="27.75" hidden="false" customHeight="true" outlineLevel="0" collapsed="false">
      <c r="A12" s="152" t="s">
        <v>861</v>
      </c>
      <c r="B12" s="152" t="s">
        <v>862</v>
      </c>
      <c r="C12" s="152" t="s">
        <v>863</v>
      </c>
      <c r="D12" s="152" t="s">
        <v>870</v>
      </c>
      <c r="E12" s="152" t="s">
        <v>865</v>
      </c>
      <c r="F12" s="152" t="s">
        <v>871</v>
      </c>
      <c r="G12" s="152" t="s">
        <v>872</v>
      </c>
    </row>
    <row r="13" customFormat="false" ht="16.5" hidden="false" customHeight="true" outlineLevel="0" collapsed="false">
      <c r="A13" s="140" t="s">
        <v>388</v>
      </c>
      <c r="B13" s="142" t="n">
        <f aca="false">1_Inputs!B5</f>
        <v>285</v>
      </c>
      <c r="C13" s="153" t="n">
        <f aca="false">B13*0.8</f>
        <v>228</v>
      </c>
      <c r="D13" s="141"/>
      <c r="E13" s="154" t="n">
        <f aca="false">B13*1.2</f>
        <v>342</v>
      </c>
      <c r="F13" s="141"/>
      <c r="G13" s="155" t="n">
        <f aca="false">IFERROR(F13-D13,"-")</f>
        <v>0</v>
      </c>
    </row>
    <row r="14" customFormat="false" ht="16.5" hidden="false" customHeight="true" outlineLevel="0" collapsed="false">
      <c r="A14" s="140" t="s">
        <v>832</v>
      </c>
      <c r="B14" s="142" t="n">
        <f aca="false">1_Inputs!B15</f>
        <v>152</v>
      </c>
      <c r="C14" s="153" t="n">
        <f aca="false">B14*0.8</f>
        <v>121.6</v>
      </c>
      <c r="D14" s="141"/>
      <c r="E14" s="154" t="n">
        <f aca="false">B14*1.2</f>
        <v>182.4</v>
      </c>
      <c r="F14" s="141"/>
      <c r="G14" s="155" t="n">
        <f aca="false">IFERROR(F14-D14,"-")</f>
        <v>0</v>
      </c>
    </row>
    <row r="15" customFormat="false" ht="16.5" hidden="false" customHeight="true" outlineLevel="0" collapsed="false">
      <c r="A15" s="140" t="s">
        <v>873</v>
      </c>
      <c r="B15" s="142" t="n">
        <f aca="false">1_Inputs!B6+1_Inputs!B7</f>
        <v>13</v>
      </c>
      <c r="C15" s="153" t="n">
        <f aca="false">B15*0.8</f>
        <v>10.4</v>
      </c>
      <c r="D15" s="141"/>
      <c r="E15" s="154" t="n">
        <f aca="false">B15*1.2</f>
        <v>15.6</v>
      </c>
      <c r="F15" s="141"/>
      <c r="G15" s="155" t="n">
        <f aca="false">IFERROR(F15-D15,"-")</f>
        <v>0</v>
      </c>
    </row>
    <row r="16" customFormat="false" ht="16.5" hidden="false" customHeight="true" outlineLevel="0" collapsed="false">
      <c r="A16" s="140" t="s">
        <v>317</v>
      </c>
      <c r="B16" s="156" t="n">
        <f aca="false">1_Inputs!B10</f>
        <v>0.7</v>
      </c>
      <c r="C16" s="157" t="n">
        <f aca="false">B16*0.8</f>
        <v>0.56</v>
      </c>
      <c r="D16" s="141"/>
      <c r="E16" s="158" t="n">
        <f aca="false">B16*1.2</f>
        <v>0.84</v>
      </c>
      <c r="F16" s="141"/>
      <c r="G16" s="155" t="n">
        <f aca="false">IFERROR(F16-D16,"-")</f>
        <v>0</v>
      </c>
    </row>
    <row r="17" customFormat="false" ht="16.5" hidden="false" customHeight="true" outlineLevel="0" collapsed="false">
      <c r="A17" s="140" t="s">
        <v>874</v>
      </c>
      <c r="B17" s="156" t="n">
        <f aca="false">1_Inputs!B57</f>
        <v>0.1</v>
      </c>
      <c r="C17" s="157" t="n">
        <f aca="false">B17*0.8</f>
        <v>0.08</v>
      </c>
      <c r="D17" s="141"/>
      <c r="E17" s="158" t="n">
        <f aca="false">B17*1.2</f>
        <v>0.12</v>
      </c>
      <c r="F17" s="141"/>
      <c r="G17" s="155" t="n">
        <f aca="false">IFERROR(F17-D17,"-")</f>
        <v>0</v>
      </c>
    </row>
    <row r="19" customFormat="false" ht="15.75" hidden="false" customHeight="true" outlineLevel="0" collapsed="false">
      <c r="A19" s="151" t="s">
        <v>875</v>
      </c>
      <c r="B19" s="151"/>
      <c r="C19" s="151"/>
      <c r="D19" s="151"/>
      <c r="E19" s="151"/>
      <c r="F19" s="151"/>
      <c r="G19" s="151"/>
    </row>
    <row r="20" customFormat="false" ht="27.75" hidden="false" customHeight="true" outlineLevel="0" collapsed="false">
      <c r="A20" s="152" t="s">
        <v>861</v>
      </c>
      <c r="B20" s="152" t="s">
        <v>862</v>
      </c>
      <c r="C20" s="152" t="s">
        <v>863</v>
      </c>
      <c r="D20" s="152" t="s">
        <v>870</v>
      </c>
      <c r="E20" s="152" t="s">
        <v>865</v>
      </c>
      <c r="F20" s="152" t="s">
        <v>871</v>
      </c>
      <c r="G20" s="152" t="s">
        <v>872</v>
      </c>
    </row>
    <row r="21" customFormat="false" ht="16.5" hidden="false" customHeight="true" outlineLevel="0" collapsed="false">
      <c r="A21" s="140" t="s">
        <v>388</v>
      </c>
      <c r="B21" s="142" t="n">
        <f aca="false">1_Inputs!B5</f>
        <v>285</v>
      </c>
      <c r="C21" s="153" t="n">
        <f aca="false">B21*0.8</f>
        <v>228</v>
      </c>
      <c r="D21" s="141"/>
      <c r="E21" s="154" t="n">
        <f aca="false">B21*1.2</f>
        <v>342</v>
      </c>
      <c r="F21" s="141"/>
      <c r="G21" s="155" t="n">
        <f aca="false">IFERROR(F21-D21,"-")</f>
        <v>0</v>
      </c>
    </row>
    <row r="22" customFormat="false" ht="16.5" hidden="false" customHeight="true" outlineLevel="0" collapsed="false">
      <c r="A22" s="140" t="s">
        <v>832</v>
      </c>
      <c r="B22" s="142" t="n">
        <f aca="false">1_Inputs!B15</f>
        <v>152</v>
      </c>
      <c r="C22" s="153" t="n">
        <f aca="false">B22*0.8</f>
        <v>121.6</v>
      </c>
      <c r="D22" s="141"/>
      <c r="E22" s="154" t="n">
        <f aca="false">B22*1.2</f>
        <v>182.4</v>
      </c>
      <c r="F22" s="141"/>
      <c r="G22" s="155" t="n">
        <f aca="false">IFERROR(F22-D22,"-")</f>
        <v>0</v>
      </c>
    </row>
    <row r="23" customFormat="false" ht="16.5" hidden="false" customHeight="true" outlineLevel="0" collapsed="false">
      <c r="A23" s="140" t="s">
        <v>873</v>
      </c>
      <c r="B23" s="142" t="n">
        <f aca="false">1_Inputs!B6+1_Inputs!B7</f>
        <v>13</v>
      </c>
      <c r="C23" s="153" t="n">
        <f aca="false">B23*0.8</f>
        <v>10.4</v>
      </c>
      <c r="D23" s="141"/>
      <c r="E23" s="154" t="n">
        <f aca="false">B23*1.2</f>
        <v>15.6</v>
      </c>
      <c r="F23" s="141"/>
      <c r="G23" s="155" t="n">
        <f aca="false">IFERROR(F23-D23,"-")</f>
        <v>0</v>
      </c>
    </row>
    <row r="24" customFormat="false" ht="16.5" hidden="false" customHeight="true" outlineLevel="0" collapsed="false">
      <c r="A24" s="140" t="s">
        <v>317</v>
      </c>
      <c r="B24" s="156" t="n">
        <f aca="false">1_Inputs!B10</f>
        <v>0.7</v>
      </c>
      <c r="C24" s="157" t="n">
        <f aca="false">B24*0.8</f>
        <v>0.56</v>
      </c>
      <c r="D24" s="141"/>
      <c r="E24" s="158" t="n">
        <f aca="false">B24*1.2</f>
        <v>0.84</v>
      </c>
      <c r="F24" s="141"/>
      <c r="G24" s="155" t="n">
        <f aca="false">IFERROR(F24-D24,"-")</f>
        <v>0</v>
      </c>
    </row>
    <row r="25" customFormat="false" ht="16.5" hidden="false" customHeight="true" outlineLevel="0" collapsed="false">
      <c r="A25" s="140" t="s">
        <v>874</v>
      </c>
      <c r="B25" s="156" t="n">
        <f aca="false">1_Inputs!B57</f>
        <v>0.1</v>
      </c>
      <c r="C25" s="157" t="n">
        <f aca="false">B25*0.8</f>
        <v>0.08</v>
      </c>
      <c r="D25" s="141"/>
      <c r="E25" s="158" t="n">
        <f aca="false">B25*1.2</f>
        <v>0.12</v>
      </c>
      <c r="F25" s="141"/>
      <c r="G25" s="155" t="n">
        <f aca="false">IFERROR(F25-D25,"-")</f>
        <v>0</v>
      </c>
    </row>
    <row r="28" customFormat="false" ht="49.5" hidden="false" customHeight="true" outlineLevel="0" collapsed="false">
      <c r="A28" s="145" t="s">
        <v>876</v>
      </c>
      <c r="B28" s="145"/>
      <c r="C28" s="145"/>
      <c r="D28" s="145"/>
      <c r="E28" s="145"/>
      <c r="F28" s="145"/>
      <c r="G28" s="145"/>
    </row>
    <row r="30" customFormat="false" ht="18" hidden="false" customHeight="true" outlineLevel="0" collapsed="false">
      <c r="A30" s="60" t="s">
        <v>877</v>
      </c>
      <c r="B30" s="60"/>
      <c r="C30" s="60"/>
      <c r="D30" s="60"/>
      <c r="E30" s="60"/>
      <c r="F30" s="60"/>
      <c r="G30" s="60"/>
    </row>
    <row r="31" customFormat="false" ht="18" hidden="false" customHeight="true" outlineLevel="0" collapsed="false">
      <c r="A31" s="148" t="s">
        <v>878</v>
      </c>
      <c r="B31" s="147" t="str">
        <f aca="false">IF(SUMPRODUCT(((6_BS!B37&lt;&gt;"BALANCED")*1+(6_BS!C37&lt;&gt;"BALANCED")*1+(6_BS!D37&lt;&gt;"BALANCED")*1+(6_BS!E37&lt;&gt;"BALANCED")*1+(6_BS!F37&lt;&gt;"BALANCED")*1+(6_BS!G37&lt;&gt;"BALANCED")*1+(6_BS!H37&lt;&gt;"BALANCED")*1+(6_BS!I37&lt;&gt;"BALANCED")*1+(6_BS!J37&lt;&gt;"BALANCED")*1+(6_BS!K37&lt;&gt;"BALANCED")*1+(6_BS!L37&lt;&gt;"BALANCED")*1+(6_BS!M37&lt;&gt;"BALANCED")*1+(6_BS!N37&lt;&gt;"BALANCED")*1+(6_BS!O37&lt;&gt;"BALANCED")*1+(6_BS!P37&lt;&gt;"BALANCED")*1+(6_BS!Q37&lt;&gt;"BALANCED")*1+(6_BS!R37&lt;&gt;"BALANCED")*1+(6_BS!S37&lt;&gt;"BALANCED")*1))=0,"✅ ALL 18 MONTHS BALANCED","❌ CHECK 6_BS ROW 37")</f>
        <v>✅ ALL 18 MONTHS BALANCED</v>
      </c>
      <c r="C31" s="147"/>
      <c r="D31" s="147"/>
      <c r="E31" s="147"/>
      <c r="F31" s="147"/>
      <c r="G31" s="147"/>
    </row>
    <row r="33" customFormat="false" ht="18" hidden="false" customHeight="true" outlineLevel="0" collapsed="false">
      <c r="A33" s="60" t="s">
        <v>879</v>
      </c>
      <c r="B33" s="60"/>
      <c r="C33" s="60"/>
      <c r="D33" s="60"/>
      <c r="E33" s="60"/>
      <c r="F33" s="60"/>
      <c r="G33" s="60"/>
    </row>
    <row r="34" customFormat="false" ht="18" hidden="false" customHeight="true" outlineLevel="0" collapsed="false">
      <c r="A34" s="148" t="s">
        <v>880</v>
      </c>
      <c r="B34" s="159" t="str">
        <f aca="false">1_Inputs!B109</f>
        <v>BASE</v>
      </c>
      <c r="C34" s="146" t="s">
        <v>881</v>
      </c>
      <c r="D34" s="146"/>
      <c r="E34" s="146"/>
      <c r="F34" s="146"/>
      <c r="G34" s="146"/>
    </row>
    <row r="35" customFormat="false" ht="18" hidden="false" customHeight="true" outlineLevel="0" collapsed="false">
      <c r="A35" s="148" t="s">
        <v>882</v>
      </c>
      <c r="B35" s="160" t="str">
        <f aca="false">IF(1_Inputs!B109="BASE","✅ PASS — selector is BASE","⚠️ CHANGE SELECTOR TO BASE BEFORE RUNNING AT-16")</f>
        <v>✅ PASS — selector is BASE</v>
      </c>
      <c r="C35" s="160"/>
      <c r="D35" s="160"/>
      <c r="E35" s="160"/>
      <c r="F35" s="160"/>
      <c r="G35" s="160"/>
    </row>
  </sheetData>
  <mergeCells count="13">
    <mergeCell ref="A1:G1"/>
    <mergeCell ref="A2:G2"/>
    <mergeCell ref="A4:G4"/>
    <mergeCell ref="A8:G8"/>
    <mergeCell ref="A10:G10"/>
    <mergeCell ref="A11:G11"/>
    <mergeCell ref="A19:G19"/>
    <mergeCell ref="A28:G28"/>
    <mergeCell ref="A30:G30"/>
    <mergeCell ref="B31:G31"/>
    <mergeCell ref="A33:G33"/>
    <mergeCell ref="C34:G34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9" min="2" style="1" width="11"/>
    <col collapsed="false" customWidth="true" hidden="false" outlineLevel="0" max="23" min="20" style="1" width="14"/>
  </cols>
  <sheetData>
    <row r="1" customFormat="false" ht="21.75" hidden="false" customHeight="true" outlineLevel="0" collapsed="false">
      <c r="A1" s="161" t="s">
        <v>883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</row>
    <row r="3" customFormat="false" ht="15" hidden="false" customHeight="true" outlineLevel="0" collapsed="false">
      <c r="A3" s="162" t="s">
        <v>884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</row>
    <row r="4" customFormat="false" ht="15" hidden="false" customHeight="true" outlineLevel="0" collapsed="false">
      <c r="A4" s="163" t="s">
        <v>592</v>
      </c>
      <c r="B4" s="7" t="s">
        <v>328</v>
      </c>
      <c r="C4" s="7" t="s">
        <v>329</v>
      </c>
      <c r="D4" s="7" t="s">
        <v>330</v>
      </c>
      <c r="E4" s="7" t="s">
        <v>331</v>
      </c>
      <c r="F4" s="7" t="s">
        <v>332</v>
      </c>
      <c r="G4" s="7" t="s">
        <v>333</v>
      </c>
      <c r="H4" s="7" t="s">
        <v>334</v>
      </c>
      <c r="I4" s="7" t="s">
        <v>335</v>
      </c>
      <c r="J4" s="7" t="s">
        <v>336</v>
      </c>
      <c r="K4" s="7" t="s">
        <v>337</v>
      </c>
      <c r="L4" s="7" t="s">
        <v>338</v>
      </c>
      <c r="M4" s="7" t="s">
        <v>339</v>
      </c>
      <c r="N4" s="7" t="s">
        <v>340</v>
      </c>
      <c r="O4" s="7" t="s">
        <v>341</v>
      </c>
      <c r="P4" s="7" t="s">
        <v>342</v>
      </c>
      <c r="Q4" s="7" t="s">
        <v>343</v>
      </c>
      <c r="R4" s="7" t="s">
        <v>344</v>
      </c>
      <c r="S4" s="7" t="s">
        <v>345</v>
      </c>
    </row>
    <row r="5" customFormat="false" ht="15" hidden="false" customHeight="true" outlineLevel="0" collapsed="false">
      <c r="A5" s="164" t="s">
        <v>885</v>
      </c>
      <c r="B5" s="165" t="n">
        <v>1</v>
      </c>
      <c r="C5" s="165" t="n">
        <v>2</v>
      </c>
      <c r="D5" s="165" t="n">
        <v>3</v>
      </c>
      <c r="E5" s="165" t="n">
        <v>4</v>
      </c>
      <c r="F5" s="165" t="n">
        <v>5</v>
      </c>
      <c r="G5" s="165" t="n">
        <v>6</v>
      </c>
      <c r="H5" s="165" t="n">
        <v>7</v>
      </c>
      <c r="I5" s="165" t="n">
        <v>8</v>
      </c>
      <c r="J5" s="165" t="n">
        <v>9</v>
      </c>
      <c r="K5" s="165" t="n">
        <v>10</v>
      </c>
      <c r="L5" s="165" t="n">
        <v>11</v>
      </c>
      <c r="M5" s="165" t="n">
        <v>12</v>
      </c>
      <c r="N5" s="165" t="n">
        <v>13</v>
      </c>
      <c r="O5" s="165" t="n">
        <v>14</v>
      </c>
      <c r="P5" s="165" t="n">
        <v>15</v>
      </c>
      <c r="Q5" s="165" t="n">
        <v>16</v>
      </c>
      <c r="R5" s="165" t="n">
        <v>17</v>
      </c>
      <c r="S5" s="165" t="n">
        <v>18</v>
      </c>
    </row>
    <row r="6" customFormat="false" ht="15" hidden="false" customHeight="true" outlineLevel="0" collapsed="false">
      <c r="A6" s="164" t="s">
        <v>886</v>
      </c>
      <c r="B6" s="166" t="n">
        <f aca="false">3_IS!B4</f>
        <v>0</v>
      </c>
      <c r="C6" s="166" t="n">
        <f aca="false">3_IS!C4</f>
        <v>0</v>
      </c>
      <c r="D6" s="166" t="n">
        <f aca="false">3_IS!D4</f>
        <v>0</v>
      </c>
      <c r="E6" s="166" t="n">
        <f aca="false">3_IS!E4</f>
        <v>0</v>
      </c>
      <c r="F6" s="166" t="n">
        <f aca="false">3_IS!F4</f>
        <v>605682</v>
      </c>
      <c r="G6" s="166" t="n">
        <f aca="false">3_IS!G4</f>
        <v>0</v>
      </c>
      <c r="H6" s="166" t="n">
        <f aca="false">3_IS!H4</f>
        <v>0</v>
      </c>
      <c r="I6" s="166" t="n">
        <f aca="false">3_IS!I4</f>
        <v>0</v>
      </c>
      <c r="J6" s="166" t="n">
        <f aca="false">3_IS!J4</f>
        <v>0</v>
      </c>
      <c r="K6" s="166" t="n">
        <f aca="false">3_IS!K4</f>
        <v>402132.15</v>
      </c>
      <c r="L6" s="166" t="n">
        <f aca="false">3_IS!L4</f>
        <v>462042</v>
      </c>
      <c r="M6" s="166" t="n">
        <f aca="false">3_IS!M4</f>
        <v>33575.85</v>
      </c>
      <c r="N6" s="166" t="n">
        <f aca="false">3_IS!N4</f>
        <v>0</v>
      </c>
      <c r="O6" s="166" t="n">
        <f aca="false">3_IS!O4</f>
        <v>0</v>
      </c>
      <c r="P6" s="166" t="n">
        <f aca="false">3_IS!P4</f>
        <v>0</v>
      </c>
      <c r="Q6" s="166" t="n">
        <f aca="false">3_IS!Q4</f>
        <v>0</v>
      </c>
      <c r="R6" s="166" t="n">
        <f aca="false">3_IS!R4</f>
        <v>0</v>
      </c>
      <c r="S6" s="166" t="n">
        <f aca="false">3_IS!S4</f>
        <v>0</v>
      </c>
    </row>
    <row r="7" customFormat="false" ht="15" hidden="false" customHeight="true" outlineLevel="0" collapsed="false">
      <c r="A7" s="164" t="s">
        <v>887</v>
      </c>
      <c r="B7" s="166" t="n">
        <f aca="false">3_IS!B17</f>
        <v>0</v>
      </c>
      <c r="C7" s="166" t="n">
        <f aca="false">3_IS!C17</f>
        <v>-13021.2810833333</v>
      </c>
      <c r="D7" s="166" t="n">
        <f aca="false">3_IS!D17</f>
        <v>-12977.7823878576</v>
      </c>
      <c r="E7" s="166" t="n">
        <f aca="false">3_IS!E17</f>
        <v>-12933.9012663509</v>
      </c>
      <c r="F7" s="166" t="n">
        <f aca="false">3_IS!F17</f>
        <v>285144.365643349</v>
      </c>
      <c r="G7" s="166" t="n">
        <f aca="false">3_IS!G17</f>
        <v>-12844.9782670364</v>
      </c>
      <c r="H7" s="166" t="n">
        <f aca="false">3_IS!H17</f>
        <v>-12799.9295759675</v>
      </c>
      <c r="I7" s="166" t="n">
        <f aca="false">3_IS!I17</f>
        <v>-12754.4848318229</v>
      </c>
      <c r="J7" s="166" t="n">
        <f aca="false">3_IS!J17</f>
        <v>-12708.640552636</v>
      </c>
      <c r="K7" s="166" t="n">
        <f aca="false">3_IS!K17</f>
        <v>185212.156774172</v>
      </c>
      <c r="L7" s="166" t="n">
        <f aca="false">3_IS!L17</f>
        <v>214738.260692062</v>
      </c>
      <c r="M7" s="166" t="n">
        <f aca="false">3_IS!M17</f>
        <v>3952.77477564609</v>
      </c>
      <c r="N7" s="166" t="n">
        <f aca="false">3_IS!N17</f>
        <v>-10147.7373690347</v>
      </c>
      <c r="O7" s="166" t="n">
        <f aca="false">3_IS!O17</f>
        <v>-10068.5990375708</v>
      </c>
      <c r="P7" s="166" t="n">
        <f aca="false">3_IS!P17</f>
        <v>-9988.83133979277</v>
      </c>
      <c r="Q7" s="166" t="n">
        <f aca="false">3_IS!Q17</f>
        <v>-9908.42918513189</v>
      </c>
      <c r="R7" s="166" t="n">
        <f aca="false">3_IS!R17</f>
        <v>-9827.38744121558</v>
      </c>
      <c r="S7" s="166" t="n">
        <f aca="false">3_IS!S17</f>
        <v>-9745.70093351954</v>
      </c>
    </row>
    <row r="8" customFormat="false" ht="15" hidden="false" customHeight="true" outlineLevel="0" collapsed="false">
      <c r="A8" s="164" t="s">
        <v>888</v>
      </c>
      <c r="B8" s="166" t="n">
        <f aca="false">5_CF!B11</f>
        <v>0</v>
      </c>
      <c r="C8" s="166" t="n">
        <f aca="false">5_CF!C11</f>
        <v>-38312.2810833333</v>
      </c>
      <c r="D8" s="166" t="n">
        <f aca="false">5_CF!D11</f>
        <v>-8308.78238785764</v>
      </c>
      <c r="E8" s="166" t="n">
        <f aca="false">5_CF!E11</f>
        <v>-128264.901266351</v>
      </c>
      <c r="F8" s="166" t="n">
        <f aca="false">5_CF!F11</f>
        <v>446424.365643349</v>
      </c>
      <c r="G8" s="166" t="n">
        <f aca="false">5_CF!G11</f>
        <v>-190575.978267036</v>
      </c>
      <c r="H8" s="166" t="n">
        <f aca="false">5_CF!H11</f>
        <v>-8130.92957596747</v>
      </c>
      <c r="I8" s="166" t="n">
        <f aca="false">5_CF!I11</f>
        <v>-8085.48483182285</v>
      </c>
      <c r="J8" s="166" t="n">
        <f aca="false">5_CF!J11</f>
        <v>-281639.640552636</v>
      </c>
      <c r="K8" s="166" t="n">
        <f aca="false">5_CF!K11</f>
        <v>394138.756774172</v>
      </c>
      <c r="L8" s="166" t="n">
        <f aca="false">5_CF!L11</f>
        <v>454095.260692062</v>
      </c>
      <c r="M8" s="166" t="n">
        <f aca="false">5_CF!M11</f>
        <v>25676.1747756461</v>
      </c>
      <c r="N8" s="166" t="n">
        <f aca="false">5_CF!N11</f>
        <v>-10147.7373690347</v>
      </c>
      <c r="O8" s="166" t="n">
        <f aca="false">5_CF!O11</f>
        <v>-10068.5990375708</v>
      </c>
      <c r="P8" s="166" t="n">
        <f aca="false">5_CF!P11</f>
        <v>-9988.83133979277</v>
      </c>
      <c r="Q8" s="166" t="n">
        <f aca="false">5_CF!Q11</f>
        <v>-9908.42918513189</v>
      </c>
      <c r="R8" s="166" t="n">
        <f aca="false">5_CF!R11</f>
        <v>-9827.38744121558</v>
      </c>
      <c r="S8" s="166" t="n">
        <f aca="false">5_CF!S11</f>
        <v>-9745.70093351954</v>
      </c>
    </row>
    <row r="9" customFormat="false" ht="15" hidden="false" customHeight="true" outlineLevel="0" collapsed="false">
      <c r="A9" s="164" t="s">
        <v>889</v>
      </c>
      <c r="B9" s="166" t="n">
        <f aca="false">5_CF!B15</f>
        <v>0</v>
      </c>
      <c r="C9" s="166" t="n">
        <f aca="false">5_CF!C15</f>
        <v>0</v>
      </c>
      <c r="D9" s="166" t="n">
        <f aca="false">5_CF!D15</f>
        <v>0</v>
      </c>
      <c r="E9" s="166" t="n">
        <f aca="false">5_CF!E15</f>
        <v>0</v>
      </c>
      <c r="F9" s="166" t="n">
        <f aca="false">5_CF!F15</f>
        <v>0</v>
      </c>
      <c r="G9" s="166" t="n">
        <f aca="false">5_CF!G15</f>
        <v>0</v>
      </c>
      <c r="H9" s="166" t="n">
        <f aca="false">5_CF!H15</f>
        <v>0</v>
      </c>
      <c r="I9" s="166" t="n">
        <f aca="false">5_CF!I15</f>
        <v>0</v>
      </c>
      <c r="J9" s="166" t="n">
        <f aca="false">5_CF!J15</f>
        <v>0</v>
      </c>
      <c r="K9" s="166" t="n">
        <f aca="false">5_CF!K15</f>
        <v>0</v>
      </c>
      <c r="L9" s="166" t="n">
        <f aca="false">5_CF!L15</f>
        <v>0</v>
      </c>
      <c r="M9" s="166" t="n">
        <f aca="false">5_CF!M15</f>
        <v>0</v>
      </c>
      <c r="N9" s="166" t="n">
        <f aca="false">5_CF!N15</f>
        <v>0</v>
      </c>
      <c r="O9" s="166" t="n">
        <f aca="false">5_CF!O15</f>
        <v>0</v>
      </c>
      <c r="P9" s="166" t="n">
        <f aca="false">5_CF!P15</f>
        <v>0</v>
      </c>
      <c r="Q9" s="166" t="n">
        <f aca="false">5_CF!Q15</f>
        <v>0</v>
      </c>
      <c r="R9" s="166" t="n">
        <f aca="false">5_CF!R15</f>
        <v>0</v>
      </c>
      <c r="S9" s="166" t="n">
        <f aca="false">5_CF!S15</f>
        <v>0</v>
      </c>
    </row>
    <row r="10" customFormat="false" ht="15" hidden="false" customHeight="true" outlineLevel="0" collapsed="false">
      <c r="A10" s="167" t="s">
        <v>890</v>
      </c>
      <c r="B10" s="168" t="n">
        <f aca="false">B8+B9</f>
        <v>0</v>
      </c>
      <c r="C10" s="168" t="n">
        <f aca="false">C8+C9</f>
        <v>-38312.2810833333</v>
      </c>
      <c r="D10" s="168" t="n">
        <f aca="false">D8+D9</f>
        <v>-8308.78238785764</v>
      </c>
      <c r="E10" s="168" t="n">
        <f aca="false">E8+E9</f>
        <v>-128264.901266351</v>
      </c>
      <c r="F10" s="168" t="n">
        <f aca="false">F8+F9</f>
        <v>446424.365643349</v>
      </c>
      <c r="G10" s="168" t="n">
        <f aca="false">G8+G9</f>
        <v>-190575.978267036</v>
      </c>
      <c r="H10" s="168" t="n">
        <f aca="false">H8+H9</f>
        <v>-8130.92957596747</v>
      </c>
      <c r="I10" s="168" t="n">
        <f aca="false">I8+I9</f>
        <v>-8085.48483182285</v>
      </c>
      <c r="J10" s="168" t="n">
        <f aca="false">J8+J9</f>
        <v>-281639.640552636</v>
      </c>
      <c r="K10" s="168" t="n">
        <f aca="false">K8+K9</f>
        <v>394138.756774172</v>
      </c>
      <c r="L10" s="168" t="n">
        <f aca="false">L8+L9</f>
        <v>454095.260692062</v>
      </c>
      <c r="M10" s="168" t="n">
        <f aca="false">M8+M9</f>
        <v>25676.1747756461</v>
      </c>
      <c r="N10" s="168" t="n">
        <f aca="false">N8+N9</f>
        <v>-10147.7373690347</v>
      </c>
      <c r="O10" s="168" t="n">
        <f aca="false">O8+O9</f>
        <v>-10068.5990375708</v>
      </c>
      <c r="P10" s="168" t="n">
        <f aca="false">P8+P9</f>
        <v>-9988.83133979277</v>
      </c>
      <c r="Q10" s="168" t="n">
        <f aca="false">Q8+Q9</f>
        <v>-9908.42918513189</v>
      </c>
      <c r="R10" s="168" t="n">
        <f aca="false">R8+R9</f>
        <v>-9827.38744121558</v>
      </c>
      <c r="S10" s="168" t="n">
        <f aca="false">S8+S9</f>
        <v>-9745.70093351954</v>
      </c>
    </row>
    <row r="13" customFormat="false" ht="15" hidden="false" customHeight="true" outlineLevel="0" collapsed="false">
      <c r="A13" s="162" t="s">
        <v>891</v>
      </c>
      <c r="B13" s="162"/>
      <c r="C13" s="162"/>
      <c r="D13" s="162"/>
      <c r="E13" s="162"/>
    </row>
    <row r="14" customFormat="false" ht="15" hidden="false" customHeight="true" outlineLevel="0" collapsed="false">
      <c r="A14" s="169" t="s">
        <v>892</v>
      </c>
    </row>
    <row r="15" customFormat="false" ht="15" hidden="false" customHeight="true" outlineLevel="0" collapsed="false">
      <c r="A15" s="163" t="s">
        <v>592</v>
      </c>
      <c r="B15" s="7" t="s">
        <v>893</v>
      </c>
      <c r="C15" s="7" t="s">
        <v>894</v>
      </c>
      <c r="D15" s="7" t="s">
        <v>895</v>
      </c>
      <c r="E15" s="7" t="s">
        <v>896</v>
      </c>
    </row>
    <row r="16" customFormat="false" ht="15" hidden="false" customHeight="true" outlineLevel="0" collapsed="false">
      <c r="A16" s="164" t="s">
        <v>897</v>
      </c>
      <c r="B16" s="170" t="n">
        <f aca="false">AVERAGE(3_IS!M4:R4)*12</f>
        <v>67151.7</v>
      </c>
      <c r="C16" s="170" t="n">
        <f aca="false">B16*(1+DCF_Y3G)</f>
        <v>94012.38</v>
      </c>
      <c r="D16" s="170" t="n">
        <f aca="false">C16*(1+DCF_Y4G)</f>
        <v>122216.094</v>
      </c>
      <c r="E16" s="170" t="n">
        <f aca="false">D16*(1+DCF_Y5G)</f>
        <v>146659.3128</v>
      </c>
    </row>
    <row r="17" customFormat="false" ht="15" hidden="false" customHeight="true" outlineLevel="0" collapsed="false">
      <c r="A17" s="164" t="s">
        <v>898</v>
      </c>
      <c r="B17" s="170" t="n">
        <f aca="false">B16*(1-DCF_GM_PCT)</f>
        <v>30218.265</v>
      </c>
      <c r="C17" s="170" t="n">
        <f aca="false">C16*(1-DCF_GM_PCT)</f>
        <v>42305.571</v>
      </c>
      <c r="D17" s="170" t="n">
        <f aca="false">D16*(1-DCF_GM_PCT)</f>
        <v>54997.2423</v>
      </c>
      <c r="E17" s="170" t="n">
        <f aca="false">E16*(1-DCF_GM_PCT)</f>
        <v>65996.69076</v>
      </c>
    </row>
    <row r="18" customFormat="false" ht="15" hidden="false" customHeight="true" outlineLevel="0" collapsed="false">
      <c r="A18" s="164" t="s">
        <v>899</v>
      </c>
      <c r="B18" s="170" t="n">
        <f aca="false">B16-B17</f>
        <v>36933.435</v>
      </c>
      <c r="C18" s="170" t="n">
        <f aca="false">C16-C17</f>
        <v>51706.809</v>
      </c>
      <c r="D18" s="170" t="n">
        <f aca="false">D16-D17</f>
        <v>67218.8517</v>
      </c>
      <c r="E18" s="170" t="n">
        <f aca="false">E16-E17</f>
        <v>80662.62204</v>
      </c>
    </row>
    <row r="19" customFormat="false" ht="15" hidden="false" customHeight="true" outlineLevel="0" collapsed="false">
      <c r="A19" s="164" t="s">
        <v>900</v>
      </c>
      <c r="B19" s="170" t="n">
        <f aca="false">B16*DCF_OPEX_PCT</f>
        <v>16787.925</v>
      </c>
      <c r="C19" s="170" t="n">
        <f aca="false">C16*DCF_OPEX_PCT</f>
        <v>23503.095</v>
      </c>
      <c r="D19" s="170" t="n">
        <f aca="false">D16*DCF_OPEX_PCT</f>
        <v>30554.0235</v>
      </c>
      <c r="E19" s="170" t="n">
        <f aca="false">E16*DCF_OPEX_PCT</f>
        <v>36664.8282</v>
      </c>
    </row>
    <row r="20" customFormat="false" ht="15" hidden="false" customHeight="true" outlineLevel="0" collapsed="false">
      <c r="A20" s="164" t="s">
        <v>901</v>
      </c>
      <c r="B20" s="170" t="n">
        <f aca="false">B18-B19</f>
        <v>20145.51</v>
      </c>
      <c r="C20" s="170" t="n">
        <f aca="false">C18-C19</f>
        <v>28203.714</v>
      </c>
      <c r="D20" s="170" t="n">
        <f aca="false">D18-D19</f>
        <v>36664.8282</v>
      </c>
      <c r="E20" s="170" t="n">
        <f aca="false">E18-E19</f>
        <v>43997.79384</v>
      </c>
    </row>
    <row r="21" customFormat="false" ht="15" hidden="false" customHeight="true" outlineLevel="0" collapsed="false">
      <c r="A21" s="164" t="s">
        <v>902</v>
      </c>
      <c r="B21" s="170" t="n">
        <f aca="false">B20</f>
        <v>20145.51</v>
      </c>
      <c r="C21" s="170" t="n">
        <f aca="false">C20</f>
        <v>28203.714</v>
      </c>
      <c r="D21" s="170" t="n">
        <f aca="false">D20</f>
        <v>36664.8282</v>
      </c>
      <c r="E21" s="170" t="n">
        <f aca="false">E20</f>
        <v>43997.79384</v>
      </c>
    </row>
    <row r="24" customFormat="false" ht="15" hidden="false" customHeight="true" outlineLevel="0" collapsed="false">
      <c r="A24" s="162" t="s">
        <v>903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</row>
    <row r="25" customFormat="false" ht="15" hidden="false" customHeight="true" outlineLevel="0" collapsed="false">
      <c r="A25" s="164" t="s">
        <v>559</v>
      </c>
      <c r="B25" s="171" t="n">
        <f aca="false">DCF_WACC</f>
        <v>0.25</v>
      </c>
    </row>
    <row r="27" customFormat="false" ht="15" hidden="false" customHeight="true" outlineLevel="0" collapsed="false">
      <c r="A27" s="76" t="s">
        <v>904</v>
      </c>
    </row>
    <row r="28" customFormat="false" ht="15" hidden="false" customHeight="true" outlineLevel="0" collapsed="false">
      <c r="A28" s="163" t="s">
        <v>592</v>
      </c>
      <c r="B28" s="7" t="s">
        <v>328</v>
      </c>
      <c r="C28" s="7" t="s">
        <v>329</v>
      </c>
      <c r="D28" s="7" t="s">
        <v>330</v>
      </c>
      <c r="E28" s="7" t="s">
        <v>331</v>
      </c>
      <c r="F28" s="7" t="s">
        <v>332</v>
      </c>
      <c r="G28" s="7" t="s">
        <v>333</v>
      </c>
      <c r="H28" s="7" t="s">
        <v>334</v>
      </c>
      <c r="I28" s="7" t="s">
        <v>335</v>
      </c>
      <c r="J28" s="7" t="s">
        <v>336</v>
      </c>
      <c r="K28" s="7" t="s">
        <v>337</v>
      </c>
      <c r="L28" s="7" t="s">
        <v>338</v>
      </c>
      <c r="M28" s="7" t="s">
        <v>339</v>
      </c>
      <c r="N28" s="7" t="s">
        <v>340</v>
      </c>
      <c r="O28" s="7" t="s">
        <v>341</v>
      </c>
      <c r="P28" s="7" t="s">
        <v>342</v>
      </c>
      <c r="Q28" s="7" t="s">
        <v>343</v>
      </c>
      <c r="R28" s="7" t="s">
        <v>344</v>
      </c>
      <c r="S28" s="7" t="s">
        <v>345</v>
      </c>
    </row>
    <row r="29" customFormat="false" ht="15" hidden="false" customHeight="true" outlineLevel="0" collapsed="false">
      <c r="A29" s="164" t="s">
        <v>905</v>
      </c>
      <c r="B29" s="166" t="n">
        <f aca="false">B10</f>
        <v>0</v>
      </c>
      <c r="C29" s="166" t="n">
        <f aca="false">C10</f>
        <v>-38312.2810833333</v>
      </c>
      <c r="D29" s="166" t="n">
        <f aca="false">D10</f>
        <v>-8308.78238785764</v>
      </c>
      <c r="E29" s="166" t="n">
        <f aca="false">E10</f>
        <v>-128264.901266351</v>
      </c>
      <c r="F29" s="166" t="n">
        <f aca="false">F10</f>
        <v>446424.365643349</v>
      </c>
      <c r="G29" s="166" t="n">
        <f aca="false">G10</f>
        <v>-190575.978267036</v>
      </c>
      <c r="H29" s="166" t="n">
        <f aca="false">H10</f>
        <v>-8130.92957596747</v>
      </c>
      <c r="I29" s="166" t="n">
        <f aca="false">I10</f>
        <v>-8085.48483182285</v>
      </c>
      <c r="J29" s="166" t="n">
        <f aca="false">J10</f>
        <v>-281639.640552636</v>
      </c>
      <c r="K29" s="166" t="n">
        <f aca="false">K10</f>
        <v>394138.756774172</v>
      </c>
      <c r="L29" s="166" t="n">
        <f aca="false">L10</f>
        <v>454095.260692062</v>
      </c>
      <c r="M29" s="166" t="n">
        <f aca="false">M10</f>
        <v>25676.1747756461</v>
      </c>
      <c r="N29" s="166" t="n">
        <f aca="false">N10</f>
        <v>-10147.7373690347</v>
      </c>
      <c r="O29" s="166" t="n">
        <f aca="false">O10</f>
        <v>-10068.5990375708</v>
      </c>
      <c r="P29" s="166" t="n">
        <f aca="false">P10</f>
        <v>-9988.83133979277</v>
      </c>
      <c r="Q29" s="166" t="n">
        <f aca="false">Q10</f>
        <v>-9908.42918513189</v>
      </c>
      <c r="R29" s="166" t="n">
        <f aca="false">R10</f>
        <v>-9827.38744121558</v>
      </c>
      <c r="S29" s="166" t="n">
        <f aca="false">S10</f>
        <v>-9745.70093351954</v>
      </c>
    </row>
    <row r="30" customFormat="false" ht="15" hidden="false" customHeight="true" outlineLevel="0" collapsed="false">
      <c r="A30" s="164" t="s">
        <v>906</v>
      </c>
      <c r="B30" s="172" t="n">
        <f aca="false">1/(1+$B$25/12)^1</f>
        <v>0.979591836734694</v>
      </c>
      <c r="C30" s="172" t="n">
        <f aca="false">1/(1+$B$25/12)^2</f>
        <v>0.959600166597251</v>
      </c>
      <c r="D30" s="172" t="n">
        <f aca="false">1/(1+$B$25/12)^3</f>
        <v>0.94001648972792</v>
      </c>
      <c r="E30" s="172" t="n">
        <f aca="false">1/(1+$B$25/12)^4</f>
        <v>0.920832479733472</v>
      </c>
      <c r="F30" s="172" t="n">
        <f aca="false">1/(1+$B$25/12)^5</f>
        <v>0.902039980147075</v>
      </c>
      <c r="G30" s="172" t="n">
        <f aca="false">1/(1+$B$25/12)^6</f>
        <v>0.8836310009604</v>
      </c>
      <c r="H30" s="172" t="n">
        <f aca="false">1/(1+$B$25/12)^7</f>
        <v>0.865597715226514</v>
      </c>
      <c r="I30" s="172" t="n">
        <f aca="false">1/(1+$B$25/12)^8</f>
        <v>0.847932455732096</v>
      </c>
      <c r="J30" s="172" t="n">
        <f aca="false">1/(1+$B$25/12)^9</f>
        <v>0.830627711737563</v>
      </c>
      <c r="K30" s="172" t="n">
        <f aca="false">1/(1+$B$25/12)^10</f>
        <v>0.813676125783736</v>
      </c>
      <c r="L30" s="172" t="n">
        <f aca="false">1/(1+$B$25/12)^11</f>
        <v>0.797070490563659</v>
      </c>
      <c r="M30" s="172" t="n">
        <f aca="false">1/(1+$B$25/12)^12</f>
        <v>0.780803745858279</v>
      </c>
      <c r="N30" s="172" t="n">
        <f aca="false">1/(1+$B$25/12)^13</f>
        <v>0.76486897553464</v>
      </c>
      <c r="O30" s="172" t="n">
        <f aca="false">1/(1+$B$25/12)^14</f>
        <v>0.749259404605362</v>
      </c>
      <c r="P30" s="172" t="n">
        <f aca="false">1/(1+$B$25/12)^15</f>
        <v>0.73396839634811</v>
      </c>
      <c r="Q30" s="172" t="n">
        <f aca="false">1/(1+$B$25/12)^16</f>
        <v>0.718989449483863</v>
      </c>
      <c r="R30" s="172" t="n">
        <f aca="false">1/(1+$B$25/12)^17</f>
        <v>0.704316195412764</v>
      </c>
      <c r="S30" s="172" t="n">
        <f aca="false">1/(1+$B$25/12)^18</f>
        <v>0.689942395506381</v>
      </c>
    </row>
    <row r="31" customFormat="false" ht="15" hidden="false" customHeight="true" outlineLevel="0" collapsed="false">
      <c r="A31" s="164" t="s">
        <v>907</v>
      </c>
      <c r="B31" s="170" t="n">
        <f aca="false">B29*B30</f>
        <v>0</v>
      </c>
      <c r="C31" s="170" t="n">
        <f aca="false">C29*C30</f>
        <v>-36764.4713102874</v>
      </c>
      <c r="D31" s="170" t="n">
        <f aca="false">D29*D30</f>
        <v>-7810.3924541471</v>
      </c>
      <c r="E31" s="170" t="n">
        <f aca="false">E29*E30</f>
        <v>-118110.487095863</v>
      </c>
      <c r="F31" s="170" t="n">
        <f aca="false">F29*F30</f>
        <v>402692.625922097</v>
      </c>
      <c r="G31" s="170" t="n">
        <f aca="false">G29*G30</f>
        <v>-168398.842435109</v>
      </c>
      <c r="H31" s="170" t="n">
        <f aca="false">H29*H30</f>
        <v>-7038.11406362514</v>
      </c>
      <c r="I31" s="170" t="n">
        <f aca="false">I29*I30</f>
        <v>-6855.94500923217</v>
      </c>
      <c r="J31" s="170" t="n">
        <f aca="false">J29*J30</f>
        <v>-233937.690166826</v>
      </c>
      <c r="K31" s="170" t="n">
        <f aca="false">K29*K30</f>
        <v>320701.296633226</v>
      </c>
      <c r="L31" s="170" t="n">
        <f aca="false">L29*L30</f>
        <v>361945.932202455</v>
      </c>
      <c r="M31" s="170" t="n">
        <f aca="false">M29*M30</f>
        <v>20048.0534441363</v>
      </c>
      <c r="N31" s="170" t="n">
        <f aca="false">N29*N30</f>
        <v>-7761.68948544815</v>
      </c>
      <c r="O31" s="170" t="n">
        <f aca="false">O29*O30</f>
        <v>-7543.99252010041</v>
      </c>
      <c r="P31" s="170" t="n">
        <f aca="false">P29*P30</f>
        <v>-7331.48651985944</v>
      </c>
      <c r="Q31" s="170" t="n">
        <f aca="false">Q29*Q30</f>
        <v>-7124.05604506782</v>
      </c>
      <c r="R31" s="170" t="n">
        <f aca="false">R29*R30</f>
        <v>-6921.58813344413</v>
      </c>
      <c r="S31" s="170" t="n">
        <f aca="false">S29*S30</f>
        <v>-6723.97224796124</v>
      </c>
    </row>
    <row r="32" customFormat="false" ht="15" hidden="false" customHeight="true" outlineLevel="0" collapsed="false">
      <c r="A32" s="164" t="s">
        <v>908</v>
      </c>
      <c r="B32" s="173" t="n">
        <f aca="false">SUM(B31:S31)</f>
        <v>483065.180714944</v>
      </c>
    </row>
    <row r="34" customFormat="false" ht="15" hidden="false" customHeight="true" outlineLevel="0" collapsed="false">
      <c r="A34" s="76" t="s">
        <v>909</v>
      </c>
    </row>
    <row r="35" customFormat="false" ht="15" hidden="false" customHeight="true" outlineLevel="0" collapsed="false">
      <c r="A35" s="163" t="s">
        <v>592</v>
      </c>
      <c r="B35" s="7" t="s">
        <v>910</v>
      </c>
      <c r="C35" s="7" t="s">
        <v>911</v>
      </c>
      <c r="D35" s="7" t="s">
        <v>912</v>
      </c>
      <c r="E35" s="7" t="s">
        <v>913</v>
      </c>
    </row>
    <row r="36" customFormat="false" ht="15" hidden="false" customHeight="true" outlineLevel="0" collapsed="false">
      <c r="A36" s="164" t="s">
        <v>914</v>
      </c>
      <c r="B36" s="166" t="n">
        <f aca="false">B21</f>
        <v>20145.51</v>
      </c>
      <c r="C36" s="166" t="n">
        <f aca="false">C21</f>
        <v>28203.714</v>
      </c>
      <c r="D36" s="166" t="n">
        <f aca="false">D21</f>
        <v>36664.8282</v>
      </c>
      <c r="E36" s="166" t="n">
        <f aca="false">E21</f>
        <v>43997.79384</v>
      </c>
    </row>
    <row r="37" customFormat="false" ht="15" hidden="false" customHeight="true" outlineLevel="0" collapsed="false">
      <c r="A37" s="164" t="s">
        <v>915</v>
      </c>
      <c r="B37" s="172" t="n">
        <f aca="false">1/(1+$B$25)^2</f>
        <v>0.64</v>
      </c>
      <c r="C37" s="172" t="n">
        <f aca="false">1/(1+$B$25)^3</f>
        <v>0.512</v>
      </c>
      <c r="D37" s="172" t="n">
        <f aca="false">1/(1+$B$25)^4</f>
        <v>0.4096</v>
      </c>
      <c r="E37" s="172" t="n">
        <f aca="false">1/(1+$B$25)^5</f>
        <v>0.32768</v>
      </c>
    </row>
    <row r="38" customFormat="false" ht="15" hidden="false" customHeight="true" outlineLevel="0" collapsed="false">
      <c r="A38" s="164" t="s">
        <v>916</v>
      </c>
      <c r="B38" s="170" t="n">
        <f aca="false">B36*B37</f>
        <v>12893.1264</v>
      </c>
      <c r="C38" s="170" t="n">
        <f aca="false">C36*C37</f>
        <v>14440.301568</v>
      </c>
      <c r="D38" s="170" t="n">
        <f aca="false">D36*D37</f>
        <v>15017.91363072</v>
      </c>
      <c r="E38" s="170" t="n">
        <f aca="false">E36*E37</f>
        <v>14417.1970854912</v>
      </c>
    </row>
    <row r="39" customFormat="false" ht="15" hidden="false" customHeight="true" outlineLevel="0" collapsed="false">
      <c r="A39" s="164" t="s">
        <v>917</v>
      </c>
      <c r="B39" s="173" t="n">
        <f aca="false">SUM(B38:E38)</f>
        <v>56768.5386842112</v>
      </c>
    </row>
    <row r="41" customFormat="false" ht="15" hidden="false" customHeight="true" outlineLevel="0" collapsed="false">
      <c r="A41" s="167" t="s">
        <v>918</v>
      </c>
      <c r="B41" s="168" t="n">
        <f aca="false">B32+B39</f>
        <v>539833.719399155</v>
      </c>
    </row>
    <row r="43" customFormat="false" ht="15" hidden="false" customHeight="true" outlineLevel="0" collapsed="false">
      <c r="A43" s="162" t="s">
        <v>919</v>
      </c>
      <c r="B43" s="162"/>
      <c r="C43" s="162"/>
      <c r="D43" s="162"/>
      <c r="E43" s="162"/>
    </row>
    <row r="44" customFormat="false" ht="15" hidden="false" customHeight="true" outlineLevel="0" collapsed="false">
      <c r="A44" s="164" t="s">
        <v>567</v>
      </c>
      <c r="B44" s="174" t="n">
        <f aca="false">DCF_TGR</f>
        <v>0.03</v>
      </c>
    </row>
    <row r="45" customFormat="false" ht="15" hidden="false" customHeight="true" outlineLevel="0" collapsed="false">
      <c r="A45" s="164" t="s">
        <v>569</v>
      </c>
      <c r="B45" s="175" t="n">
        <f aca="false">DCF_EXIT_MULT</f>
        <v>8</v>
      </c>
    </row>
    <row r="46" customFormat="false" ht="15" hidden="false" customHeight="true" outlineLevel="0" collapsed="false">
      <c r="A46" s="164" t="s">
        <v>920</v>
      </c>
      <c r="B46" s="170" t="n">
        <f aca="false">E20</f>
        <v>43997.79384</v>
      </c>
    </row>
    <row r="47" customFormat="false" ht="15" hidden="false" customHeight="true" outlineLevel="0" collapsed="false">
      <c r="A47" s="164" t="s">
        <v>921</v>
      </c>
      <c r="B47" s="170" t="n">
        <f aca="false">E21</f>
        <v>43997.79384</v>
      </c>
    </row>
    <row r="48" customFormat="false" ht="15" hidden="false" customHeight="true" outlineLevel="0" collapsed="false">
      <c r="A48" s="164" t="s">
        <v>922</v>
      </c>
      <c r="B48" s="170" t="n">
        <f aca="false">IFERROR(B47*(1+B44)/(B25-B44),0)</f>
        <v>205989.67116</v>
      </c>
    </row>
    <row r="49" customFormat="false" ht="15" hidden="false" customHeight="true" outlineLevel="0" collapsed="false">
      <c r="A49" s="164" t="s">
        <v>923</v>
      </c>
      <c r="B49" s="170" t="n">
        <f aca="false">B46*B45</f>
        <v>351982.35072</v>
      </c>
    </row>
    <row r="50" customFormat="false" ht="15" hidden="false" customHeight="true" outlineLevel="0" collapsed="false">
      <c r="A50" s="164" t="s">
        <v>924</v>
      </c>
      <c r="B50" s="170" t="n">
        <f aca="false">IFERROR(B48/(1+B25)^5,0)</f>
        <v>67498.6954457088</v>
      </c>
    </row>
    <row r="51" customFormat="false" ht="15" hidden="false" customHeight="true" outlineLevel="0" collapsed="false">
      <c r="A51" s="164" t="s">
        <v>925</v>
      </c>
      <c r="B51" s="170" t="n">
        <f aca="false">IFERROR(B49/(1+B25)^5,0)</f>
        <v>115337.57668393</v>
      </c>
    </row>
    <row r="53" customFormat="false" ht="15" hidden="false" customHeight="true" outlineLevel="0" collapsed="false">
      <c r="A53" s="167" t="s">
        <v>926</v>
      </c>
      <c r="B53" s="168" t="n">
        <f aca="false">B41+B50</f>
        <v>607332.414844864</v>
      </c>
    </row>
    <row r="54" customFormat="false" ht="15" hidden="false" customHeight="true" outlineLevel="0" collapsed="false">
      <c r="A54" s="167" t="s">
        <v>927</v>
      </c>
      <c r="B54" s="168" t="n">
        <f aca="false">B41+B51</f>
        <v>655171.296083085</v>
      </c>
    </row>
    <row r="56" customFormat="false" ht="15" hidden="false" customHeight="true" outlineLevel="0" collapsed="false">
      <c r="A56" s="162" t="s">
        <v>928</v>
      </c>
      <c r="B56" s="162"/>
      <c r="C56" s="162"/>
      <c r="D56" s="162"/>
      <c r="E56" s="162"/>
    </row>
    <row r="57" customFormat="false" ht="15" hidden="false" customHeight="true" outlineLevel="0" collapsed="false">
      <c r="A57" s="176" t="s">
        <v>929</v>
      </c>
    </row>
    <row r="58" customFormat="false" ht="15" hidden="false" customHeight="true" outlineLevel="0" collapsed="false">
      <c r="A58" s="7"/>
      <c r="B58" s="7" t="s">
        <v>930</v>
      </c>
      <c r="C58" s="7" t="s">
        <v>931</v>
      </c>
      <c r="D58" s="7" t="s">
        <v>932</v>
      </c>
      <c r="E58" s="7" t="s">
        <v>933</v>
      </c>
    </row>
    <row r="59" customFormat="false" ht="15" hidden="false" customHeight="true" outlineLevel="0" collapsed="false">
      <c r="A59" s="164" t="s">
        <v>934</v>
      </c>
      <c r="B59" s="170" t="n">
        <f aca="false">B10/(1+0.2/12)^1+C10/(1+0.2/12)^2+D10/(1+0.2/12)^3+E10/(1+0.2/12)^4+F10/(1+0.2/12)^5+G10/(1+0.2/12)^6+H10/(1+0.2/12)^7+I10/(1+0.2/12)^8+J10/(1+0.2/12)^9+K10/(1+0.2/12)^10+L10/(1+0.2/12)^11+M10/(1+0.2/12)^12+N10/(1+0.2/12)^13+O10/(1+0.2/12)^14+P10/(1+0.2/12)^15+Q10/(1+0.2/12)^16+R10/(1+0.2/12)^17+S10/(1+0.2/12)^18</f>
        <v>503877.353345627</v>
      </c>
      <c r="C59" s="170" t="n">
        <f aca="false">B10/(1+0.25/12)^1+C10/(1+0.25/12)^2+D10/(1+0.25/12)^3+E10/(1+0.25/12)^4+F10/(1+0.25/12)^5+G10/(1+0.25/12)^6+H10/(1+0.25/12)^7+I10/(1+0.25/12)^8+J10/(1+0.25/12)^9+K10/(1+0.25/12)^10+L10/(1+0.25/12)^11+M10/(1+0.25/12)^12+N10/(1+0.25/12)^13+O10/(1+0.25/12)^14+P10/(1+0.25/12)^15+Q10/(1+0.25/12)^16+R10/(1+0.25/12)^17+S10/(1+0.25/12)^18</f>
        <v>483065.180714944</v>
      </c>
      <c r="D59" s="170" t="n">
        <f aca="false">B10/(1+0.3/12)^1+C10/(1+0.3/12)^2+D10/(1+0.3/12)^3+E10/(1+0.3/12)^4+F10/(1+0.3/12)^5+G10/(1+0.3/12)^6+H10/(1+0.3/12)^7+I10/(1+0.3/12)^8+J10/(1+0.3/12)^9+K10/(1+0.3/12)^10+L10/(1+0.3/12)^11+M10/(1+0.3/12)^12+N10/(1+0.3/12)^13+O10/(1+0.3/12)^14+P10/(1+0.3/12)^15+Q10/(1+0.3/12)^16+R10/(1+0.3/12)^17+S10/(1+0.3/12)^18</f>
        <v>463177.133279944</v>
      </c>
      <c r="E59" s="170" t="n">
        <f aca="false">B10/(1+0.35/12)^1+C10/(1+0.35/12)^2+D10/(1+0.35/12)^3+E10/(1+0.35/12)^4+F10/(1+0.35/12)^5+G10/(1+0.35/12)^6+H10/(1+0.35/12)^7+I10/(1+0.35/12)^8+J10/(1+0.35/12)^9+K10/(1+0.35/12)^10+L10/(1+0.35/12)^11+M10/(1+0.35/12)^12+N10/(1+0.35/12)^13+O10/(1+0.35/12)^14+P10/(1+0.35/12)^15+Q10/(1+0.35/12)^16+R10/(1+0.35/12)^17+S10/(1+0.35/12)^18</f>
        <v>444169.249259103</v>
      </c>
    </row>
    <row r="60" customFormat="false" ht="15" hidden="false" customHeight="true" outlineLevel="0" collapsed="false">
      <c r="A60" s="164" t="s">
        <v>935</v>
      </c>
      <c r="B60" s="170" t="n">
        <f aca="false">B21/(1+0.2)^2+C21/(1+0.2)^3+D21/(1+0.2)^4+E21/(1+0.2)^5</f>
        <v>65674.984375</v>
      </c>
      <c r="C60" s="170" t="n">
        <f aca="false">B21/(1+0.25)^2+C21/(1+0.25)^3+D21/(1+0.25)^4+E21/(1+0.25)^5</f>
        <v>56768.5386842112</v>
      </c>
      <c r="D60" s="170" t="n">
        <f aca="false">B21/(1+0.3)^2+C21/(1+0.3)^3+D21/(1+0.3)^4+E21/(1+0.3)^5</f>
        <v>49445.0562305242</v>
      </c>
      <c r="E60" s="170" t="n">
        <f aca="false">B21/(1+0.35)^2+C21/(1+0.35)^3+D21/(1+0.35)^4+E21/(1+0.35)^5</f>
        <v>43367.6716625176</v>
      </c>
    </row>
    <row r="61" customFormat="false" ht="15" hidden="false" customHeight="true" outlineLevel="0" collapsed="false">
      <c r="A61" s="164" t="s">
        <v>936</v>
      </c>
      <c r="B61" s="173" t="n">
        <f aca="false">B59+B60</f>
        <v>569552.337720627</v>
      </c>
      <c r="C61" s="173" t="n">
        <f aca="false">C59+C60</f>
        <v>539833.719399155</v>
      </c>
      <c r="D61" s="173" t="n">
        <f aca="false">D59+D60</f>
        <v>512622.189510468</v>
      </c>
      <c r="E61" s="173" t="n">
        <f aca="false">E59+E60</f>
        <v>487536.920921621</v>
      </c>
    </row>
    <row r="63" customFormat="false" ht="15" hidden="false" customHeight="true" outlineLevel="0" collapsed="false">
      <c r="A63" s="76" t="s">
        <v>937</v>
      </c>
    </row>
    <row r="64" customFormat="false" ht="15" hidden="false" customHeight="true" outlineLevel="0" collapsed="false">
      <c r="A64" s="163" t="s">
        <v>938</v>
      </c>
      <c r="B64" s="7" t="s">
        <v>939</v>
      </c>
      <c r="C64" s="7" t="s">
        <v>151</v>
      </c>
      <c r="D64" s="7" t="s">
        <v>940</v>
      </c>
      <c r="E64" s="7" t="s">
        <v>941</v>
      </c>
    </row>
    <row r="65" customFormat="false" ht="15" hidden="false" customHeight="true" outlineLevel="0" collapsed="false">
      <c r="A65" s="164" t="s">
        <v>942</v>
      </c>
      <c r="B65" s="170" t="n">
        <f aca="false">B61+E20*5/(1+0.2)^5</f>
        <v>657960.970533127</v>
      </c>
      <c r="C65" s="170" t="n">
        <f aca="false">C61+E20*5/(1+0.25)^5</f>
        <v>611919.704826611</v>
      </c>
      <c r="D65" s="170" t="n">
        <f aca="false">D61+E20*5/(1+0.3)^5</f>
        <v>571871.614950754</v>
      </c>
      <c r="E65" s="170" t="n">
        <f aca="false">E61+E20*5/(1+0.35)^5</f>
        <v>536597.431345167</v>
      </c>
    </row>
    <row r="66" customFormat="false" ht="15" hidden="false" customHeight="true" outlineLevel="0" collapsed="false">
      <c r="A66" s="164" t="s">
        <v>943</v>
      </c>
      <c r="B66" s="170" t="n">
        <f aca="false">B61+E20*8/(1+0.2)^5</f>
        <v>711006.150220627</v>
      </c>
      <c r="C66" s="177" t="n">
        <f aca="false">C61+E20*8/(1+0.25)^5</f>
        <v>655171.296083085</v>
      </c>
      <c r="D66" s="170" t="n">
        <f aca="false">D61+E20*8/(1+0.3)^5</f>
        <v>607421.270214925</v>
      </c>
      <c r="E66" s="170" t="n">
        <f aca="false">E61+E20*8/(1+0.35)^5</f>
        <v>566033.737599295</v>
      </c>
    </row>
    <row r="67" customFormat="false" ht="15" hidden="false" customHeight="true" outlineLevel="0" collapsed="false">
      <c r="A67" s="164" t="s">
        <v>944</v>
      </c>
      <c r="B67" s="170" t="n">
        <f aca="false">B61+E20*10/(1+0.2)^5</f>
        <v>746369.603345627</v>
      </c>
      <c r="C67" s="170" t="n">
        <f aca="false">C61+E20*10/(1+0.25)^5</f>
        <v>684005.690254067</v>
      </c>
      <c r="D67" s="170" t="n">
        <f aca="false">D61+E20*10/(1+0.3)^5</f>
        <v>631121.04039104</v>
      </c>
      <c r="E67" s="170" t="n">
        <f aca="false">E61+E20*10/(1+0.35)^5</f>
        <v>585657.941768714</v>
      </c>
    </row>
    <row r="68" customFormat="false" ht="15" hidden="false" customHeight="true" outlineLevel="0" collapsed="false">
      <c r="A68" s="164" t="s">
        <v>945</v>
      </c>
      <c r="B68" s="170" t="n">
        <f aca="false">B61+E20*12/(1+0.2)^5</f>
        <v>781733.056470627</v>
      </c>
      <c r="C68" s="170" t="n">
        <f aca="false">C61+E20*12/(1+0.25)^5</f>
        <v>712840.08442505</v>
      </c>
      <c r="D68" s="170" t="n">
        <f aca="false">D61+E20*12/(1+0.3)^5</f>
        <v>654820.810567154</v>
      </c>
      <c r="E68" s="170" t="n">
        <f aca="false">E61+E20*12/(1+0.35)^5</f>
        <v>605282.145938132</v>
      </c>
    </row>
    <row r="70" customFormat="false" ht="15" hidden="false" customHeight="true" outlineLevel="0" collapsed="false">
      <c r="A70" s="162" t="s">
        <v>946</v>
      </c>
      <c r="B70" s="162"/>
      <c r="C70" s="162"/>
    </row>
    <row r="71" customFormat="false" ht="23.25" hidden="false" customHeight="true" outlineLevel="0" collapsed="false">
      <c r="A71" s="163" t="s">
        <v>947</v>
      </c>
      <c r="B71" s="163" t="s">
        <v>948</v>
      </c>
      <c r="C71" s="163" t="s">
        <v>949</v>
      </c>
    </row>
    <row r="72" customFormat="false" ht="15" hidden="false" customHeight="true" outlineLevel="0" collapsed="false">
      <c r="A72" s="164" t="s">
        <v>950</v>
      </c>
      <c r="B72" s="166" t="n">
        <v>7500000</v>
      </c>
      <c r="C72" s="178" t="s">
        <v>951</v>
      </c>
    </row>
    <row r="73" customFormat="false" ht="15" hidden="false" customHeight="true" outlineLevel="0" collapsed="false">
      <c r="A73" s="164" t="s">
        <v>952</v>
      </c>
      <c r="B73" s="166" t="n">
        <f aca="false">1_Inputs!B102</f>
        <v>7500000</v>
      </c>
      <c r="C73" s="178" t="s">
        <v>953</v>
      </c>
    </row>
    <row r="74" customFormat="false" ht="15" hidden="false" customHeight="true" outlineLevel="0" collapsed="false">
      <c r="A74" s="164" t="s">
        <v>954</v>
      </c>
      <c r="B74" s="166" t="n">
        <f aca="false">1_Inputs!B101</f>
        <v>2000000</v>
      </c>
      <c r="C74" s="178" t="s">
        <v>953</v>
      </c>
    </row>
    <row r="75" customFormat="false" ht="15" hidden="false" customHeight="true" outlineLevel="0" collapsed="false">
      <c r="A75" s="164" t="s">
        <v>955</v>
      </c>
      <c r="B75" s="170" t="n">
        <f aca="false">B73+B74</f>
        <v>9500000</v>
      </c>
      <c r="C75" s="178" t="s">
        <v>956</v>
      </c>
    </row>
    <row r="76" customFormat="false" ht="15" hidden="false" customHeight="true" outlineLevel="0" collapsed="false">
      <c r="A76" s="164" t="s">
        <v>957</v>
      </c>
      <c r="B76" s="170" t="n">
        <f aca="false">B53</f>
        <v>607332.414844864</v>
      </c>
      <c r="C76" s="178" t="s">
        <v>958</v>
      </c>
    </row>
    <row r="77" customFormat="false" ht="15" hidden="false" customHeight="true" outlineLevel="0" collapsed="false">
      <c r="A77" s="164" t="s">
        <v>959</v>
      </c>
      <c r="B77" s="170" t="n">
        <f aca="false">B54</f>
        <v>655171.296083085</v>
      </c>
      <c r="C77" s="178" t="s">
        <v>960</v>
      </c>
    </row>
    <row r="78" customFormat="false" ht="15" hidden="false" customHeight="true" outlineLevel="0" collapsed="false">
      <c r="A78" s="164" t="s">
        <v>961</v>
      </c>
      <c r="B78" s="179" t="n">
        <f aca="false">IFERROR((B76-B72)/B72,0)</f>
        <v>-0.919022344687351</v>
      </c>
      <c r="C78" s="178" t="s">
        <v>962</v>
      </c>
    </row>
    <row r="79" customFormat="false" ht="15" hidden="false" customHeight="true" outlineLevel="0" collapsed="false">
      <c r="A79" s="164" t="s">
        <v>963</v>
      </c>
      <c r="B79" s="179" t="n">
        <f aca="false">IFERROR((B77-B72)/B72,0)</f>
        <v>-0.912643827188922</v>
      </c>
      <c r="C79" s="178" t="s">
        <v>964</v>
      </c>
    </row>
    <row r="80" customFormat="false" ht="15" hidden="false" customHeight="true" outlineLevel="0" collapsed="false">
      <c r="A80" s="164" t="s">
        <v>965</v>
      </c>
      <c r="B80" s="179" t="n">
        <f aca="false">IFERROR((B76-B73)/B73,0)</f>
        <v>-0.919022344687351</v>
      </c>
      <c r="C80" s="178"/>
    </row>
    <row r="81" customFormat="false" ht="15" hidden="false" customHeight="true" outlineLevel="0" collapsed="false">
      <c r="A81" s="164" t="s">
        <v>966</v>
      </c>
      <c r="B81" s="179" t="n">
        <f aca="false">IFERROR((B77-B73)/B73,0)</f>
        <v>-0.912643827188922</v>
      </c>
      <c r="C81" s="178"/>
    </row>
    <row r="83" customFormat="false" ht="15" hidden="false" customHeight="true" outlineLevel="0" collapsed="false">
      <c r="A83" s="98" t="s">
        <v>967</v>
      </c>
      <c r="B83" s="98"/>
      <c r="C83" s="98"/>
      <c r="D83" s="98"/>
      <c r="E83" s="98"/>
    </row>
    <row r="84" customFormat="false" ht="15" hidden="false" customHeight="true" outlineLevel="0" collapsed="false">
      <c r="A84" s="169" t="s">
        <v>968</v>
      </c>
    </row>
    <row r="85" customFormat="false" ht="15" hidden="false" customHeight="true" outlineLevel="0" collapsed="false">
      <c r="A85" s="163" t="s">
        <v>592</v>
      </c>
      <c r="B85" s="7" t="s">
        <v>969</v>
      </c>
      <c r="C85" s="7" t="s">
        <v>911</v>
      </c>
      <c r="D85" s="7" t="s">
        <v>912</v>
      </c>
      <c r="E85" s="7" t="s">
        <v>913</v>
      </c>
    </row>
    <row r="86" customFormat="false" ht="15" hidden="false" customHeight="true" outlineLevel="0" collapsed="false">
      <c r="A86" s="105" t="s">
        <v>970</v>
      </c>
      <c r="B86" s="170" t="n">
        <f aca="false">AVERAGE(3_IS!K4,3_IS!L4)*12</f>
        <v>5185044.9</v>
      </c>
      <c r="C86" s="170" t="n">
        <f aca="false">B86*(1+DCF_Y3G)</f>
        <v>7259062.86</v>
      </c>
      <c r="D86" s="170" t="n">
        <f aca="false">C86*(1+DCF_Y4G)</f>
        <v>9436781.718</v>
      </c>
      <c r="E86" s="170" t="n">
        <f aca="false">D86*(1+DCF_Y5G)</f>
        <v>11324138.0616</v>
      </c>
    </row>
    <row r="87" customFormat="false" ht="15" hidden="false" customHeight="true" outlineLevel="0" collapsed="false">
      <c r="A87" s="105" t="s">
        <v>898</v>
      </c>
      <c r="B87" s="170" t="n">
        <f aca="false">B86*(1-DCF_GM_PCT)</f>
        <v>2333270.205</v>
      </c>
      <c r="C87" s="170" t="n">
        <f aca="false">C86*(1-DCF_GM_PCT)</f>
        <v>3266578.287</v>
      </c>
      <c r="D87" s="170" t="n">
        <f aca="false">D86*(1-DCF_GM_PCT)</f>
        <v>4246551.7731</v>
      </c>
      <c r="E87" s="170" t="n">
        <f aca="false">E86*(1-DCF_GM_PCT)</f>
        <v>5095862.12772</v>
      </c>
    </row>
    <row r="88" customFormat="false" ht="15" hidden="false" customHeight="true" outlineLevel="0" collapsed="false">
      <c r="A88" s="105" t="s">
        <v>899</v>
      </c>
      <c r="B88" s="170" t="n">
        <f aca="false">B86-B87</f>
        <v>2851774.695</v>
      </c>
      <c r="C88" s="170" t="n">
        <f aca="false">C86-C87</f>
        <v>3992484.573</v>
      </c>
      <c r="D88" s="170" t="n">
        <f aca="false">D86-D87</f>
        <v>5190229.9449</v>
      </c>
      <c r="E88" s="170" t="n">
        <f aca="false">E86-E87</f>
        <v>6228275.93388</v>
      </c>
    </row>
    <row r="89" customFormat="false" ht="15" hidden="false" customHeight="true" outlineLevel="0" collapsed="false">
      <c r="A89" s="105" t="s">
        <v>900</v>
      </c>
      <c r="B89" s="170" t="n">
        <f aca="false">B86*DCF_OPEX_PCT</f>
        <v>1296261.225</v>
      </c>
      <c r="C89" s="170" t="n">
        <f aca="false">C86*DCF_OPEX_PCT</f>
        <v>1814765.715</v>
      </c>
      <c r="D89" s="170" t="n">
        <f aca="false">D86*DCF_OPEX_PCT</f>
        <v>2359195.4295</v>
      </c>
      <c r="E89" s="170" t="n">
        <f aca="false">E86*DCF_OPEX_PCT</f>
        <v>2831034.5154</v>
      </c>
    </row>
    <row r="90" customFormat="false" ht="15" hidden="false" customHeight="true" outlineLevel="0" collapsed="false">
      <c r="A90" s="105" t="s">
        <v>901</v>
      </c>
      <c r="B90" s="170" t="n">
        <f aca="false">B88-B89</f>
        <v>1555513.47</v>
      </c>
      <c r="C90" s="170" t="n">
        <f aca="false">C88-C89</f>
        <v>2177718.858</v>
      </c>
      <c r="D90" s="170" t="n">
        <f aca="false">D88-D89</f>
        <v>2831034.5154</v>
      </c>
      <c r="E90" s="170" t="n">
        <f aca="false">E88-E89</f>
        <v>3397241.41848</v>
      </c>
    </row>
    <row r="91" customFormat="false" ht="15" hidden="false" customHeight="true" outlineLevel="0" collapsed="false">
      <c r="A91" s="105" t="s">
        <v>971</v>
      </c>
      <c r="B91" s="170" t="n">
        <f aca="false">B90</f>
        <v>1555513.47</v>
      </c>
      <c r="C91" s="170" t="n">
        <f aca="false">C90</f>
        <v>2177718.858</v>
      </c>
      <c r="D91" s="170" t="n">
        <f aca="false">D90</f>
        <v>2831034.5154</v>
      </c>
      <c r="E91" s="170" t="n">
        <f aca="false">E90</f>
        <v>3397241.41848</v>
      </c>
    </row>
    <row r="93" customFormat="false" ht="15" hidden="false" customHeight="true" outlineLevel="0" collapsed="false">
      <c r="A93" s="105" t="s">
        <v>972</v>
      </c>
      <c r="B93" s="180" t="n">
        <f aca="false">B91/(1+$B$25)^2+C91/(1+$B$25)^3+D91/(1+$B$25)^4+E91/(1+$B$25)^5</f>
        <v>4383320.48161137</v>
      </c>
    </row>
    <row r="94" customFormat="false" ht="15" hidden="false" customHeight="true" outlineLevel="0" collapsed="false">
      <c r="A94" s="105" t="s">
        <v>973</v>
      </c>
      <c r="B94" s="170" t="n">
        <f aca="false">IFERROR(E91*(1+DCF_TGR)/($B$25-DCF_TGR),0)</f>
        <v>15905266.6410655</v>
      </c>
    </row>
    <row r="95" customFormat="false" ht="15" hidden="false" customHeight="true" outlineLevel="0" collapsed="false">
      <c r="A95" s="105" t="s">
        <v>974</v>
      </c>
      <c r="B95" s="170" t="n">
        <f aca="false">E90*DCF_EXIT_MULT</f>
        <v>27177931.34784</v>
      </c>
    </row>
    <row r="96" customFormat="false" ht="15" hidden="false" customHeight="true" outlineLevel="0" collapsed="false">
      <c r="A96" s="105" t="s">
        <v>975</v>
      </c>
      <c r="B96" s="170" t="n">
        <f aca="false">IFERROR(B94/(1+$B$25)^5,0)</f>
        <v>5211837.77294433</v>
      </c>
    </row>
    <row r="97" customFormat="false" ht="15" hidden="false" customHeight="true" outlineLevel="0" collapsed="false">
      <c r="A97" s="105" t="s">
        <v>976</v>
      </c>
      <c r="B97" s="170" t="n">
        <f aca="false">IFERROR(B95/(1+$B$25)^5,0)</f>
        <v>8905664.54406021</v>
      </c>
    </row>
    <row r="99" customFormat="false" ht="15" hidden="false" customHeight="true" outlineLevel="0" collapsed="false">
      <c r="A99" s="167" t="s">
        <v>977</v>
      </c>
      <c r="B99" s="168" t="n">
        <f aca="false">B32+B93+B96</f>
        <v>10078223.4352706</v>
      </c>
    </row>
    <row r="100" customFormat="false" ht="15" hidden="false" customHeight="true" outlineLevel="0" collapsed="false">
      <c r="A100" s="167" t="s">
        <v>978</v>
      </c>
      <c r="B100" s="168" t="n">
        <f aca="false">B32+B93+B97</f>
        <v>13772050.2063865</v>
      </c>
    </row>
    <row r="102" customFormat="false" ht="15" hidden="false" customHeight="true" outlineLevel="0" collapsed="false">
      <c r="A102" s="98" t="s">
        <v>979</v>
      </c>
      <c r="B102" s="98"/>
      <c r="C102" s="98"/>
    </row>
    <row r="103" customFormat="false" ht="23.25" hidden="false" customHeight="true" outlineLevel="0" collapsed="false">
      <c r="A103" s="163" t="s">
        <v>980</v>
      </c>
      <c r="B103" s="163" t="s">
        <v>981</v>
      </c>
      <c r="C103" s="163" t="s">
        <v>982</v>
      </c>
      <c r="D103" s="163" t="s">
        <v>983</v>
      </c>
    </row>
    <row r="104" customFormat="false" ht="15" hidden="false" customHeight="true" outlineLevel="0" collapsed="false">
      <c r="A104" s="105" t="s">
        <v>984</v>
      </c>
      <c r="B104" s="166" t="n">
        <f aca="false">B53</f>
        <v>607332.414844864</v>
      </c>
      <c r="C104" s="166" t="n">
        <f aca="false">B99</f>
        <v>10078223.4352706</v>
      </c>
      <c r="D104" s="181" t="n">
        <f aca="false">IFERROR((C104-B104)/ABS(B104),0)</f>
        <v>15.5942459004843</v>
      </c>
    </row>
    <row r="105" customFormat="false" ht="15" hidden="false" customHeight="true" outlineLevel="0" collapsed="false">
      <c r="A105" s="105" t="s">
        <v>985</v>
      </c>
      <c r="B105" s="166" t="n">
        <f aca="false">B54</f>
        <v>655171.296083085</v>
      </c>
      <c r="C105" s="166" t="n">
        <f aca="false">B100</f>
        <v>13772050.2063865</v>
      </c>
      <c r="D105" s="181" t="n">
        <f aca="false">IFERROR((C105-B105)/ABS(B105),0)</f>
        <v>20.0205335440093</v>
      </c>
    </row>
    <row r="106" customFormat="false" ht="15" hidden="false" customHeight="true" outlineLevel="0" collapsed="false">
      <c r="A106" s="105" t="s">
        <v>986</v>
      </c>
      <c r="B106" s="78" t="n">
        <v>7500000</v>
      </c>
      <c r="C106" s="78" t="n">
        <v>7500000</v>
      </c>
    </row>
    <row r="107" customFormat="false" ht="15" hidden="false" customHeight="true" outlineLevel="0" collapsed="false">
      <c r="A107" s="105" t="s">
        <v>987</v>
      </c>
      <c r="B107" s="171" t="n">
        <f aca="false">IFERROR(B53/7500000,0)</f>
        <v>0.0809776553126485</v>
      </c>
    </row>
    <row r="108" customFormat="false" ht="15" hidden="false" customHeight="true" outlineLevel="0" collapsed="false">
      <c r="A108" s="105" t="s">
        <v>988</v>
      </c>
      <c r="C108" s="171" t="n">
        <f aca="false">IFERROR(B99/7500000,0)</f>
        <v>1.34376312470275</v>
      </c>
    </row>
    <row r="110" customFormat="false" ht="15" hidden="false" customHeight="true" outlineLevel="0" collapsed="false">
      <c r="A110" s="169" t="s">
        <v>989</v>
      </c>
    </row>
    <row r="112" customFormat="false" ht="15" hidden="false" customHeight="true" outlineLevel="0" collapsed="false">
      <c r="A112" s="98" t="s">
        <v>990</v>
      </c>
      <c r="B112" s="98"/>
      <c r="C112" s="98"/>
      <c r="D112" s="98"/>
      <c r="E112" s="98"/>
    </row>
    <row r="113" customFormat="false" ht="15" hidden="false" customHeight="true" outlineLevel="0" collapsed="false">
      <c r="A113" s="163" t="s">
        <v>938</v>
      </c>
      <c r="B113" s="7" t="s">
        <v>939</v>
      </c>
      <c r="C113" s="7" t="s">
        <v>151</v>
      </c>
      <c r="D113" s="7" t="s">
        <v>940</v>
      </c>
      <c r="E113" s="7" t="s">
        <v>941</v>
      </c>
    </row>
    <row r="114" customFormat="false" ht="15" hidden="false" customHeight="true" outlineLevel="0" collapsed="false">
      <c r="A114" s="105" t="s">
        <v>942</v>
      </c>
      <c r="B114" s="170" t="n">
        <f aca="false">B10/(1+0.2/12)^1+C10/(1+0.2/12)^2+D10/(1+0.2/12)^3+E10/(1+0.2/12)^4+F10/(1+0.2/12)^5+G10/(1+0.2/12)^6+H10/(1+0.2/12)^7+I10/(1+0.2/12)^8+J10/(1+0.2/12)^9+K10/(1+0.2/12)^10+L10/(1+0.2/12)^11+M10/(1+0.2/12)^12+N10/(1+0.2/12)^13+O10/(1+0.2/12)^14+P10/(1+0.2/12)^15+Q10/(1+0.2/12)^16+R10/(1+0.2/12)^17+S10/(1+0.2/12)^18+B91/(1+0.2)^2+C91/(1+0.2)^3+D91/(1+0.2)^4+E91/(1+0.2)^5+E90*5/(1+0.2)^5</f>
        <v>12401274.9392831</v>
      </c>
      <c r="C114" s="170" t="n">
        <f aca="false">B10/(1+0.25/12)^1+C10/(1+0.25/12)^2+D10/(1+0.25/12)^3+E10/(1+0.25/12)^4+F10/(1+0.25/12)^5+G10/(1+0.25/12)^6+H10/(1+0.25/12)^7+I10/(1+0.25/12)^8+J10/(1+0.25/12)^9+K10/(1+0.25/12)^10+L10/(1+0.25/12)^11+M10/(1+0.25/12)^12+N10/(1+0.25/12)^13+O10/(1+0.25/12)^14+P10/(1+0.25/12)^15+Q10/(1+0.25/12)^16+R10/(1+0.25/12)^17+S10/(1+0.25/12)^18+B91/(1+0.25)^2+C91/(1+0.25)^3+D91/(1+0.25)^4+E91/(1+0.25)^5+E90*5/(1+0.25)^5</f>
        <v>10432426.0023639</v>
      </c>
      <c r="D114" s="170" t="n">
        <f aca="false">B10/(1+0.3/12)^1+C10/(1+0.3/12)^2+D10/(1+0.3/12)^3+E10/(1+0.3/12)^4+F10/(1+0.3/12)^5+G10/(1+0.3/12)^6+H10/(1+0.3/12)^7+I10/(1+0.3/12)^8+J10/(1+0.3/12)^9+K10/(1+0.3/12)^10+L10/(1+0.3/12)^11+M10/(1+0.3/12)^12+N10/(1+0.3/12)^13+O10/(1+0.3/12)^14+P10/(1+0.3/12)^15+Q10/(1+0.3/12)^16+R10/(1+0.3/12)^17+S10/(1+0.3/12)^18+B91/(1+0.3)^2+C91/(1+0.3)^3+D91/(1+0.3)^4+E91/(1+0.3)^5+E90*5/(1+0.3)^5</f>
        <v>8855902.37843943</v>
      </c>
      <c r="E114" s="170" t="n">
        <f aca="false">B10/(1+0.35/12)^1+C10/(1+0.35/12)^2+D10/(1+0.35/12)^3+E10/(1+0.35/12)^4+F10/(1+0.35/12)^5+G10/(1+0.35/12)^6+H10/(1+0.35/12)^7+I10/(1+0.35/12)^8+J10/(1+0.35/12)^9+K10/(1+0.35/12)^10+L10/(1+0.35/12)^11+M10/(1+0.35/12)^12+N10/(1+0.35/12)^13+O10/(1+0.35/12)^14+P10/(1+0.35/12)^15+Q10/(1+0.35/12)^16+R10/(1+0.35/12)^17+S10/(1+0.35/12)^18+B91/(1+0.35)^2+C91/(1+0.35)^3+D91/(1+0.35)^4+E91/(1+0.35)^5+E90*5/(1+0.35)^5</f>
        <v>7580910.0040221</v>
      </c>
    </row>
    <row r="115" customFormat="false" ht="15" hidden="false" customHeight="true" outlineLevel="0" collapsed="false">
      <c r="A115" s="105" t="s">
        <v>943</v>
      </c>
      <c r="B115" s="170" t="n">
        <f aca="false">B10/(1+0.2/12)^1+C10/(1+0.2/12)^2+D10/(1+0.2/12)^3+E10/(1+0.2/12)^4+F10/(1+0.2/12)^5+G10/(1+0.2/12)^6+H10/(1+0.2/12)^7+I10/(1+0.2/12)^8+J10/(1+0.2/12)^9+K10/(1+0.2/12)^10+L10/(1+0.2/12)^11+M10/(1+0.2/12)^12+N10/(1+0.2/12)^13+O10/(1+0.2/12)^14+P10/(1+0.2/12)^15+Q10/(1+0.2/12)^16+R10/(1+0.2/12)^17+S10/(1+0.2/12)^18+B91/(1+0.2)^2+C91/(1+0.2)^3+D91/(1+0.2)^4+E91/(1+0.2)^5+E90*8/(1+0.2)^5</f>
        <v>16497100.3377206</v>
      </c>
      <c r="C115" s="177" t="n">
        <f aca="false">B10/(1+0.25/12)^1+C10/(1+0.25/12)^2+D10/(1+0.25/12)^3+E10/(1+0.25/12)^4+F10/(1+0.25/12)^5+G10/(1+0.25/12)^6+H10/(1+0.25/12)^7+I10/(1+0.25/12)^8+J10/(1+0.25/12)^9+K10/(1+0.25/12)^10+L10/(1+0.25/12)^11+M10/(1+0.25/12)^12+N10/(1+0.25/12)^13+O10/(1+0.25/12)^14+P10/(1+0.25/12)^15+Q10/(1+0.25/12)^16+R10/(1+0.25/12)^17+S10/(1+0.25/12)^18+B91/(1+0.25)^2+C91/(1+0.25)^3+D91/(1+0.25)^4+E91/(1+0.25)^5+E90*8/(1+0.25)^5</f>
        <v>13772050.2063865</v>
      </c>
      <c r="D115" s="170" t="n">
        <f aca="false">B10/(1+0.3/12)^1+C10/(1+0.3/12)^2+D10/(1+0.3/12)^3+E10/(1+0.3/12)^4+F10/(1+0.3/12)^5+G10/(1+0.3/12)^6+H10/(1+0.3/12)^7+I10/(1+0.3/12)^8+J10/(1+0.3/12)^9+K10/(1+0.3/12)^10+L10/(1+0.3/12)^11+M10/(1+0.3/12)^12+N10/(1+0.3/12)^13+O10/(1+0.3/12)^14+P10/(1+0.3/12)^15+Q10/(1+0.3/12)^16+R10/(1+0.3/12)^17+S10/(1+0.3/12)^18+B91/(1+0.3)^2+C91/(1+0.3)^3+D91/(1+0.3)^4+E91/(1+0.3)^5+E90*8/(1+0.3)^5</f>
        <v>11600830.0381152</v>
      </c>
      <c r="E115" s="170" t="n">
        <f aca="false">B10/(1+0.35/12)^1+C10/(1+0.35/12)^2+D10/(1+0.35/12)^3+E10/(1+0.35/12)^4+F10/(1+0.35/12)^5+G10/(1+0.35/12)^6+H10/(1+0.35/12)^7+I10/(1+0.35/12)^8+J10/(1+0.35/12)^9+K10/(1+0.35/12)^10+L10/(1+0.35/12)^11+M10/(1+0.35/12)^12+N10/(1+0.35/12)^13+O10/(1+0.35/12)^14+P10/(1+0.35/12)^15+Q10/(1+0.35/12)^16+R10/(1+0.35/12)^17+S10/(1+0.35/12)^18+B91/(1+0.35)^2+C91/(1+0.35)^3+D91/(1+0.35)^4+E91/(1+0.35)^5+E90*8/(1+0.35)^5</f>
        <v>9853802.12168708</v>
      </c>
    </row>
    <row r="116" customFormat="false" ht="15" hidden="false" customHeight="true" outlineLevel="0" collapsed="false">
      <c r="A116" s="105" t="s">
        <v>944</v>
      </c>
      <c r="B116" s="170" t="n">
        <f aca="false">B10/(1+0.2/12)^1+C10/(1+0.2/12)^2+D10/(1+0.2/12)^3+E10/(1+0.2/12)^4+F10/(1+0.2/12)^5+G10/(1+0.2/12)^6+H10/(1+0.2/12)^7+I10/(1+0.2/12)^8+J10/(1+0.2/12)^9+K10/(1+0.2/12)^10+L10/(1+0.2/12)^11+M10/(1+0.2/12)^12+N10/(1+0.2/12)^13+O10/(1+0.2/12)^14+P10/(1+0.2/12)^15+Q10/(1+0.2/12)^16+R10/(1+0.2/12)^17+S10/(1+0.2/12)^18+B91/(1+0.2)^2+C91/(1+0.2)^3+D91/(1+0.2)^4+E91/(1+0.2)^5+E90*10/(1+0.2)^5</f>
        <v>19227650.6033456</v>
      </c>
      <c r="C116" s="170" t="n">
        <f aca="false">B10/(1+0.25/12)^1+C10/(1+0.25/12)^2+D10/(1+0.25/12)^3+E10/(1+0.25/12)^4+F10/(1+0.25/12)^5+G10/(1+0.25/12)^6+H10/(1+0.25/12)^7+I10/(1+0.25/12)^8+J10/(1+0.25/12)^9+K10/(1+0.25/12)^10+L10/(1+0.25/12)^11+M10/(1+0.25/12)^12+N10/(1+0.25/12)^13+O10/(1+0.25/12)^14+P10/(1+0.25/12)^15+Q10/(1+0.25/12)^16+R10/(1+0.25/12)^17+S10/(1+0.25/12)^18+B91/(1+0.25)^2+C91/(1+0.25)^3+D91/(1+0.25)^4+E91/(1+0.25)^5+E90*10/(1+0.25)^5</f>
        <v>15998466.3424016</v>
      </c>
      <c r="D116" s="170" t="n">
        <f aca="false">B10/(1+0.3/12)^1+C10/(1+0.3/12)^2+D10/(1+0.3/12)^3+E10/(1+0.3/12)^4+F10/(1+0.3/12)^5+G10/(1+0.3/12)^6+H10/(1+0.3/12)^7+I10/(1+0.3/12)^8+J10/(1+0.3/12)^9+K10/(1+0.3/12)^10+L10/(1+0.3/12)^11+M10/(1+0.3/12)^12+N10/(1+0.3/12)^13+O10/(1+0.3/12)^14+P10/(1+0.3/12)^15+Q10/(1+0.3/12)^16+R10/(1+0.3/12)^17+S10/(1+0.3/12)^18+B91/(1+0.3)^2+C91/(1+0.3)^3+D91/(1+0.3)^4+E91/(1+0.3)^5+E90*10/(1+0.3)^5</f>
        <v>13430781.8112324</v>
      </c>
      <c r="E116" s="170" t="n">
        <f aca="false">B10/(1+0.35/12)^1+C10/(1+0.35/12)^2+D10/(1+0.35/12)^3+E10/(1+0.35/12)^4+F10/(1+0.35/12)^5+G10/(1+0.35/12)^6+H10/(1+0.35/12)^7+I10/(1+0.35/12)^8+J10/(1+0.35/12)^9+K10/(1+0.35/12)^10+L10/(1+0.35/12)^11+M10/(1+0.35/12)^12+N10/(1+0.35/12)^13+O10/(1+0.35/12)^14+P10/(1+0.35/12)^15+Q10/(1+0.35/12)^16+R10/(1+0.35/12)^17+S10/(1+0.35/12)^18+B91/(1+0.35)^2+C91/(1+0.35)^3+D91/(1+0.35)^4+E91/(1+0.35)^5+E90*10/(1+0.35)^5</f>
        <v>11369063.5334637</v>
      </c>
    </row>
    <row r="117" customFormat="false" ht="15" hidden="false" customHeight="true" outlineLevel="0" collapsed="false">
      <c r="A117" s="105" t="s">
        <v>945</v>
      </c>
      <c r="B117" s="170" t="n">
        <f aca="false">B10/(1+0.2/12)^1+C10/(1+0.2/12)^2+D10/(1+0.2/12)^3+E10/(1+0.2/12)^4+F10/(1+0.2/12)^5+G10/(1+0.2/12)^6+H10/(1+0.2/12)^7+I10/(1+0.2/12)^8+J10/(1+0.2/12)^9+K10/(1+0.2/12)^10+L10/(1+0.2/12)^11+M10/(1+0.2/12)^12+N10/(1+0.2/12)^13+O10/(1+0.2/12)^14+P10/(1+0.2/12)^15+Q10/(1+0.2/12)^16+R10/(1+0.2/12)^17+S10/(1+0.2/12)^18+B91/(1+0.2)^2+C91/(1+0.2)^3+D91/(1+0.2)^4+E91/(1+0.2)^5+E90*12/(1+0.2)^5</f>
        <v>21958200.8689706</v>
      </c>
      <c r="C117" s="170" t="n">
        <f aca="false">B10/(1+0.25/12)^1+C10/(1+0.25/12)^2+D10/(1+0.25/12)^3+E10/(1+0.25/12)^4+F10/(1+0.25/12)^5+G10/(1+0.25/12)^6+H10/(1+0.25/12)^7+I10/(1+0.25/12)^8+J10/(1+0.25/12)^9+K10/(1+0.25/12)^10+L10/(1+0.25/12)^11+M10/(1+0.25/12)^12+N10/(1+0.25/12)^13+O10/(1+0.25/12)^14+P10/(1+0.25/12)^15+Q10/(1+0.25/12)^16+R10/(1+0.25/12)^17+S10/(1+0.25/12)^18+B91/(1+0.25)^2+C91/(1+0.25)^3+D91/(1+0.25)^4+E91/(1+0.25)^5+E90*12/(1+0.25)^5</f>
        <v>18224882.4784166</v>
      </c>
      <c r="D117" s="170" t="n">
        <f aca="false">B10/(1+0.3/12)^1+C10/(1+0.3/12)^2+D10/(1+0.3/12)^3+E10/(1+0.3/12)^4+F10/(1+0.3/12)^5+G10/(1+0.3/12)^6+H10/(1+0.3/12)^7+I10/(1+0.3/12)^8+J10/(1+0.3/12)^9+K10/(1+0.3/12)^10+L10/(1+0.3/12)^11+M10/(1+0.3/12)^12+N10/(1+0.3/12)^13+O10/(1+0.3/12)^14+P10/(1+0.3/12)^15+Q10/(1+0.3/12)^16+R10/(1+0.3/12)^17+S10/(1+0.3/12)^18+B91/(1+0.3)^2+C91/(1+0.3)^3+D91/(1+0.3)^4+E91/(1+0.3)^5+E90*12/(1+0.3)^5</f>
        <v>15260733.5843496</v>
      </c>
      <c r="E117" s="170" t="n">
        <f aca="false">B10/(1+0.35/12)^1+C10/(1+0.35/12)^2+D10/(1+0.35/12)^3+E10/(1+0.35/12)^4+F10/(1+0.35/12)^5+G10/(1+0.35/12)^6+H10/(1+0.35/12)^7+I10/(1+0.35/12)^8+J10/(1+0.35/12)^9+K10/(1+0.35/12)^10+L10/(1+0.35/12)^11+M10/(1+0.35/12)^12+N10/(1+0.35/12)^13+O10/(1+0.35/12)^14+P10/(1+0.35/12)^15+Q10/(1+0.35/12)^16+R10/(1+0.35/12)^17+S10/(1+0.35/12)^18+B91/(1+0.35)^2+C91/(1+0.35)^3+D91/(1+0.35)^4+E91/(1+0.35)^5+E90*12/(1+0.35)^5</f>
        <v>12884324.9452404</v>
      </c>
    </row>
  </sheetData>
  <mergeCells count="10">
    <mergeCell ref="A1:S1"/>
    <mergeCell ref="A3:S3"/>
    <mergeCell ref="A13:E13"/>
    <mergeCell ref="A24:S24"/>
    <mergeCell ref="A43:E43"/>
    <mergeCell ref="A56:E56"/>
    <mergeCell ref="A70:C70"/>
    <mergeCell ref="A83:E83"/>
    <mergeCell ref="A102:C102"/>
    <mergeCell ref="A112:E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6"/>
    <col collapsed="false" customWidth="true" hidden="false" outlineLevel="0" max="8" min="7" style="1" width="18"/>
  </cols>
  <sheetData>
    <row r="1" customFormat="false" ht="21.75" hidden="false" customHeight="true" outlineLevel="0" collapsed="false">
      <c r="A1" s="161" t="s">
        <v>991</v>
      </c>
      <c r="B1" s="161"/>
      <c r="C1" s="161"/>
      <c r="D1" s="161"/>
      <c r="E1" s="161"/>
      <c r="F1" s="161"/>
      <c r="G1" s="161"/>
      <c r="H1" s="161"/>
    </row>
    <row r="3" customFormat="false" ht="15" hidden="false" customHeight="true" outlineLevel="0" collapsed="false">
      <c r="A3" s="162" t="s">
        <v>992</v>
      </c>
      <c r="B3" s="162"/>
      <c r="C3" s="162"/>
    </row>
    <row r="4" customFormat="false" ht="15" hidden="false" customHeight="true" outlineLevel="0" collapsed="false">
      <c r="A4" s="163" t="s">
        <v>51</v>
      </c>
      <c r="B4" s="163" t="s">
        <v>121</v>
      </c>
      <c r="C4" s="163" t="s">
        <v>949</v>
      </c>
    </row>
    <row r="5" customFormat="false" ht="15" hidden="false" customHeight="true" outlineLevel="0" collapsed="false">
      <c r="A5" s="164" t="s">
        <v>993</v>
      </c>
      <c r="B5" s="166" t="n">
        <f aca="false">REV_PRICE</f>
        <v>285</v>
      </c>
      <c r="C5" s="178" t="s">
        <v>389</v>
      </c>
    </row>
    <row r="6" customFormat="false" ht="15" hidden="false" customHeight="true" outlineLevel="0" collapsed="false">
      <c r="A6" s="164" t="s">
        <v>994</v>
      </c>
      <c r="B6" s="166" t="n">
        <f aca="false">COST_COGS</f>
        <v>152</v>
      </c>
      <c r="C6" s="178" t="s">
        <v>995</v>
      </c>
    </row>
    <row r="7" customFormat="false" ht="15" hidden="false" customHeight="true" outlineLevel="0" collapsed="false">
      <c r="A7" s="164" t="s">
        <v>996</v>
      </c>
      <c r="B7" s="170" t="n">
        <f aca="false">B5-B6</f>
        <v>133</v>
      </c>
      <c r="C7" s="178" t="s">
        <v>997</v>
      </c>
    </row>
    <row r="8" customFormat="false" ht="15" hidden="false" customHeight="true" outlineLevel="0" collapsed="false">
      <c r="A8" s="164" t="s">
        <v>392</v>
      </c>
      <c r="B8" s="182" t="n">
        <f aca="false">REV_INIT_ORDER</f>
        <v>24</v>
      </c>
      <c r="C8" s="178" t="s">
        <v>998</v>
      </c>
    </row>
    <row r="9" customFormat="false" ht="15" hidden="false" customHeight="true" outlineLevel="0" collapsed="false">
      <c r="A9" s="164" t="s">
        <v>394</v>
      </c>
      <c r="B9" s="182" t="n">
        <f aca="false">REV_REORDER_SIZE</f>
        <v>22</v>
      </c>
      <c r="C9" s="178" t="s">
        <v>395</v>
      </c>
    </row>
    <row r="10" customFormat="false" ht="15" hidden="false" customHeight="true" outlineLevel="0" collapsed="false">
      <c r="A10" s="164" t="s">
        <v>317</v>
      </c>
      <c r="B10" s="174" t="n">
        <f aca="false">REV_REORDER_PROB</f>
        <v>0.7</v>
      </c>
      <c r="C10" s="178" t="s">
        <v>998</v>
      </c>
    </row>
    <row r="11" customFormat="false" ht="15" hidden="false" customHeight="true" outlineLevel="0" collapsed="false">
      <c r="A11" s="164" t="s">
        <v>578</v>
      </c>
      <c r="B11" s="182" t="n">
        <f aca="false">1_Inputs!B124</f>
        <v>8</v>
      </c>
      <c r="C11" s="178" t="s">
        <v>999</v>
      </c>
    </row>
    <row r="12" customFormat="false" ht="15" hidden="false" customHeight="true" outlineLevel="0" collapsed="false">
      <c r="A12" s="164" t="s">
        <v>576</v>
      </c>
      <c r="B12" s="182" t="n">
        <f aca="false">1_Inputs!B123</f>
        <v>250</v>
      </c>
      <c r="C12" s="178" t="s">
        <v>1000</v>
      </c>
    </row>
    <row r="13" customFormat="false" ht="15" hidden="false" customHeight="true" outlineLevel="0" collapsed="false">
      <c r="A13" s="164" t="s">
        <v>1001</v>
      </c>
      <c r="B13" s="166" t="n">
        <f aca="false">SAAS_ENABLED</f>
        <v>0</v>
      </c>
      <c r="C13" s="178" t="s">
        <v>1002</v>
      </c>
    </row>
    <row r="14" customFormat="false" ht="15" hidden="false" customHeight="true" outlineLevel="0" collapsed="false">
      <c r="A14" s="164" t="s">
        <v>1003</v>
      </c>
      <c r="B14" s="166" t="n">
        <f aca="false">SAAS_FEE</f>
        <v>99</v>
      </c>
      <c r="C14" s="178" t="s">
        <v>509</v>
      </c>
    </row>
    <row r="15" customFormat="false" ht="15" hidden="false" customHeight="true" outlineLevel="0" collapsed="false">
      <c r="A15" s="164" t="s">
        <v>1004</v>
      </c>
      <c r="B15" s="174" t="n">
        <f aca="false">SAAS_ADOPTION</f>
        <v>0.2</v>
      </c>
      <c r="C15" s="178" t="s">
        <v>511</v>
      </c>
    </row>
    <row r="17" customFormat="false" ht="15" hidden="false" customHeight="true" outlineLevel="0" collapsed="false">
      <c r="A17" s="162" t="s">
        <v>1005</v>
      </c>
      <c r="B17" s="162"/>
      <c r="C17" s="162"/>
    </row>
    <row r="18" customFormat="false" ht="15" hidden="false" customHeight="true" outlineLevel="0" collapsed="false">
      <c r="A18" s="163" t="s">
        <v>1006</v>
      </c>
      <c r="B18" s="163" t="s">
        <v>97</v>
      </c>
      <c r="C18" s="163" t="s">
        <v>861</v>
      </c>
    </row>
    <row r="19" customFormat="false" ht="15" hidden="false" customHeight="true" outlineLevel="0" collapsed="false">
      <c r="A19" s="164" t="s">
        <v>1007</v>
      </c>
      <c r="B19" s="170" t="n">
        <f aca="false">B5*B8</f>
        <v>6840</v>
      </c>
      <c r="C19" s="178" t="s">
        <v>1008</v>
      </c>
    </row>
    <row r="20" customFormat="false" ht="15" hidden="false" customHeight="true" outlineLevel="0" collapsed="false">
      <c r="A20" s="164" t="s">
        <v>1009</v>
      </c>
      <c r="B20" s="170" t="n">
        <f aca="false">B7*B8</f>
        <v>3192</v>
      </c>
      <c r="C20" s="178" t="s">
        <v>1010</v>
      </c>
    </row>
    <row r="21" customFormat="false" ht="15" hidden="false" customHeight="true" outlineLevel="0" collapsed="false">
      <c r="A21" s="164" t="s">
        <v>1011</v>
      </c>
      <c r="B21" s="170" t="n">
        <f aca="false">B5*B9*B10</f>
        <v>4389</v>
      </c>
      <c r="C21" s="178" t="s">
        <v>1012</v>
      </c>
    </row>
    <row r="22" customFormat="false" ht="15" hidden="false" customHeight="true" outlineLevel="0" collapsed="false">
      <c r="A22" s="164" t="s">
        <v>1013</v>
      </c>
      <c r="B22" s="170" t="n">
        <f aca="false">B7*B9*B10</f>
        <v>2048.2</v>
      </c>
      <c r="C22" s="178" t="s">
        <v>1014</v>
      </c>
    </row>
    <row r="23" customFormat="false" ht="15" hidden="false" customHeight="true" outlineLevel="0" collapsed="false">
      <c r="A23" s="164" t="s">
        <v>1015</v>
      </c>
      <c r="B23" s="170" t="n">
        <f aca="false">B21*B11</f>
        <v>35112</v>
      </c>
      <c r="C23" s="178" t="s">
        <v>1016</v>
      </c>
    </row>
    <row r="24" customFormat="false" ht="15" hidden="false" customHeight="true" outlineLevel="0" collapsed="false">
      <c r="A24" s="164" t="s">
        <v>1017</v>
      </c>
      <c r="B24" s="170" t="n">
        <f aca="false">B22*B11</f>
        <v>16385.6</v>
      </c>
      <c r="C24" s="178" t="s">
        <v>1016</v>
      </c>
    </row>
    <row r="25" customFormat="false" ht="15" hidden="false" customHeight="true" outlineLevel="0" collapsed="false">
      <c r="A25" s="164" t="s">
        <v>1018</v>
      </c>
      <c r="B25" s="170" t="n">
        <f aca="false">IF(SAAS_ENABLED=1,SAAS_FEE*SAAS_ADOPTION*24,0)</f>
        <v>0</v>
      </c>
      <c r="C25" s="178" t="s">
        <v>1019</v>
      </c>
    </row>
    <row r="26" customFormat="false" ht="15" hidden="false" customHeight="true" outlineLevel="0" collapsed="false">
      <c r="A26" s="164" t="s">
        <v>1020</v>
      </c>
      <c r="B26" s="170" t="n">
        <f aca="false">B25*SAAS_MARGIN</f>
        <v>0</v>
      </c>
      <c r="C26" s="178" t="s">
        <v>1019</v>
      </c>
    </row>
    <row r="28" customFormat="false" ht="15" hidden="false" customHeight="true" outlineLevel="0" collapsed="false">
      <c r="A28" s="167" t="s">
        <v>1021</v>
      </c>
      <c r="B28" s="168" t="n">
        <f aca="false">B19+B23+B25</f>
        <v>41952</v>
      </c>
    </row>
    <row r="29" customFormat="false" ht="15" hidden="false" customHeight="true" outlineLevel="0" collapsed="false">
      <c r="A29" s="167" t="s">
        <v>1022</v>
      </c>
      <c r="B29" s="168" t="n">
        <f aca="false">B20+B24+B26</f>
        <v>19577.6</v>
      </c>
    </row>
    <row r="31" customFormat="false" ht="15" hidden="false" customHeight="true" outlineLevel="0" collapsed="false">
      <c r="A31" s="162" t="s">
        <v>1023</v>
      </c>
      <c r="B31" s="162"/>
      <c r="C31" s="162"/>
    </row>
    <row r="32" customFormat="false" ht="15" hidden="false" customHeight="true" outlineLevel="0" collapsed="false">
      <c r="A32" s="163" t="s">
        <v>980</v>
      </c>
      <c r="B32" s="163" t="s">
        <v>121</v>
      </c>
      <c r="C32" s="163" t="s">
        <v>949</v>
      </c>
    </row>
    <row r="33" customFormat="false" ht="15" hidden="false" customHeight="true" outlineLevel="0" collapsed="false">
      <c r="A33" s="164" t="s">
        <v>576</v>
      </c>
      <c r="B33" s="166" t="n">
        <f aca="false">B12</f>
        <v>250</v>
      </c>
      <c r="C33" s="178" t="s">
        <v>1024</v>
      </c>
    </row>
    <row r="34" customFormat="false" ht="15" hidden="false" customHeight="true" outlineLevel="0" collapsed="false">
      <c r="A34" s="164" t="s">
        <v>319</v>
      </c>
      <c r="B34" s="114" t="n">
        <f aca="false">IFERROR(B28/B33,0)</f>
        <v>167.808</v>
      </c>
      <c r="C34" s="178" t="s">
        <v>1025</v>
      </c>
    </row>
    <row r="35" customFormat="false" ht="15" hidden="false" customHeight="true" outlineLevel="0" collapsed="false">
      <c r="A35" s="164" t="s">
        <v>1026</v>
      </c>
      <c r="B35" s="114" t="n">
        <f aca="false">IFERROR(B29/B33,0)</f>
        <v>78.3104</v>
      </c>
      <c r="C35" s="178" t="s">
        <v>1027</v>
      </c>
    </row>
    <row r="36" customFormat="false" ht="15" hidden="false" customHeight="true" outlineLevel="0" collapsed="false">
      <c r="A36" s="164" t="s">
        <v>1028</v>
      </c>
      <c r="B36" s="170" t="n">
        <f aca="false">IFERROR(B29/24,0)</f>
        <v>815.733333333333</v>
      </c>
      <c r="C36" s="183" t="s">
        <v>1029</v>
      </c>
    </row>
    <row r="37" customFormat="false" ht="15" hidden="false" customHeight="true" outlineLevel="0" collapsed="false">
      <c r="A37" s="164" t="s">
        <v>1030</v>
      </c>
      <c r="B37" s="184" t="n">
        <f aca="false">IFERROR(B33/B36,0)</f>
        <v>0.306472703497875</v>
      </c>
      <c r="C37" s="178" t="s">
        <v>1031</v>
      </c>
    </row>
    <row r="38" customFormat="false" ht="15" hidden="false" customHeight="true" outlineLevel="0" collapsed="false">
      <c r="A38" s="164" t="s">
        <v>1032</v>
      </c>
      <c r="B38" s="170" t="n">
        <f aca="false">IFERROR(B29/MAX(1,24),0)</f>
        <v>815.733333333333</v>
      </c>
      <c r="C38" s="178" t="s">
        <v>1033</v>
      </c>
    </row>
    <row r="41" customFormat="false" ht="15" hidden="false" customHeight="true" outlineLevel="0" collapsed="false">
      <c r="A41" s="162" t="s">
        <v>1034</v>
      </c>
      <c r="B41" s="162"/>
      <c r="C41" s="162"/>
      <c r="D41" s="162"/>
      <c r="E41" s="162"/>
      <c r="F41" s="162"/>
      <c r="G41" s="162"/>
      <c r="H41" s="162"/>
    </row>
    <row r="42" customFormat="false" ht="15" hidden="false" customHeight="true" outlineLevel="0" collapsed="false">
      <c r="A42" s="163" t="s">
        <v>885</v>
      </c>
      <c r="B42" s="163" t="s">
        <v>1035</v>
      </c>
      <c r="C42" s="163" t="s">
        <v>1036</v>
      </c>
      <c r="D42" s="163" t="s">
        <v>1037</v>
      </c>
      <c r="E42" s="163" t="s">
        <v>1038</v>
      </c>
      <c r="F42" s="163" t="s">
        <v>1039</v>
      </c>
      <c r="G42" s="163" t="s">
        <v>1040</v>
      </c>
      <c r="H42" s="163" t="s">
        <v>1041</v>
      </c>
    </row>
    <row r="43" customFormat="false" ht="15" hidden="false" customHeight="true" outlineLevel="0" collapsed="false">
      <c r="A43" s="57" t="n">
        <v>1</v>
      </c>
      <c r="B43" s="57" t="s">
        <v>328</v>
      </c>
      <c r="C43" s="185" t="n">
        <f aca="false">2_Revenue!B4</f>
        <v>0</v>
      </c>
      <c r="D43" s="185" t="n">
        <f aca="false">2_Revenue!B5</f>
        <v>42</v>
      </c>
      <c r="E43" s="170" t="n">
        <f aca="false">2_Revenue!B8*REV_PRICE</f>
        <v>0</v>
      </c>
      <c r="F43" s="170" t="n">
        <f aca="false">2_Revenue!B8*(REV_PRICE-COST_COGS)</f>
        <v>0</v>
      </c>
      <c r="G43" s="170" t="n">
        <f aca="false">2_Revenue!B4*REV_REORDER_PROB*REV_REORDER_SIZE*REV_PRICE*CLN_CYCLES</f>
        <v>0</v>
      </c>
      <c r="H43" s="170" t="n">
        <f aca="false">E43+G43</f>
        <v>0</v>
      </c>
    </row>
    <row r="44" customFormat="false" ht="15" hidden="false" customHeight="true" outlineLevel="0" collapsed="false">
      <c r="A44" s="57" t="n">
        <v>2</v>
      </c>
      <c r="B44" s="57" t="s">
        <v>329</v>
      </c>
      <c r="C44" s="185" t="n">
        <f aca="false">2_Revenue!C4</f>
        <v>0</v>
      </c>
      <c r="D44" s="185" t="n">
        <f aca="false">2_Revenue!C5</f>
        <v>42</v>
      </c>
      <c r="E44" s="170" t="n">
        <f aca="false">2_Revenue!C8*REV_PRICE</f>
        <v>0</v>
      </c>
      <c r="F44" s="170" t="n">
        <f aca="false">2_Revenue!C8*(REV_PRICE-COST_COGS)</f>
        <v>0</v>
      </c>
      <c r="G44" s="170" t="n">
        <f aca="false">2_Revenue!C4*REV_REORDER_PROB*REV_REORDER_SIZE*REV_PRICE*CLN_CYCLES</f>
        <v>0</v>
      </c>
      <c r="H44" s="170" t="n">
        <f aca="false">E44+G44</f>
        <v>0</v>
      </c>
    </row>
    <row r="45" customFormat="false" ht="15" hidden="false" customHeight="true" outlineLevel="0" collapsed="false">
      <c r="A45" s="57" t="n">
        <v>3</v>
      </c>
      <c r="B45" s="57" t="s">
        <v>330</v>
      </c>
      <c r="C45" s="185" t="n">
        <f aca="false">2_Revenue!D4</f>
        <v>0</v>
      </c>
      <c r="D45" s="185" t="n">
        <f aca="false">2_Revenue!D5</f>
        <v>42</v>
      </c>
      <c r="E45" s="170" t="n">
        <f aca="false">2_Revenue!D8*REV_PRICE</f>
        <v>0</v>
      </c>
      <c r="F45" s="170" t="n">
        <f aca="false">2_Revenue!D8*(REV_PRICE-COST_COGS)</f>
        <v>0</v>
      </c>
      <c r="G45" s="170" t="n">
        <f aca="false">2_Revenue!D4*REV_REORDER_PROB*REV_REORDER_SIZE*REV_PRICE*CLN_CYCLES</f>
        <v>0</v>
      </c>
      <c r="H45" s="170" t="n">
        <f aca="false">E45+G45</f>
        <v>0</v>
      </c>
    </row>
    <row r="46" customFormat="false" ht="15" hidden="false" customHeight="true" outlineLevel="0" collapsed="false">
      <c r="A46" s="57" t="n">
        <v>4</v>
      </c>
      <c r="B46" s="57" t="s">
        <v>331</v>
      </c>
      <c r="C46" s="185" t="n">
        <f aca="false">2_Revenue!E4</f>
        <v>0</v>
      </c>
      <c r="D46" s="185" t="n">
        <f aca="false">2_Revenue!E5</f>
        <v>42</v>
      </c>
      <c r="E46" s="170" t="n">
        <f aca="false">2_Revenue!E8*REV_PRICE</f>
        <v>0</v>
      </c>
      <c r="F46" s="170" t="n">
        <f aca="false">2_Revenue!E8*(REV_PRICE-COST_COGS)</f>
        <v>0</v>
      </c>
      <c r="G46" s="170" t="n">
        <f aca="false">2_Revenue!E4*REV_REORDER_PROB*REV_REORDER_SIZE*REV_PRICE*CLN_CYCLES</f>
        <v>0</v>
      </c>
      <c r="H46" s="170" t="n">
        <f aca="false">E46+G46</f>
        <v>0</v>
      </c>
    </row>
    <row r="47" customFormat="false" ht="15" hidden="false" customHeight="true" outlineLevel="0" collapsed="false">
      <c r="A47" s="57" t="n">
        <v>5</v>
      </c>
      <c r="B47" s="57" t="s">
        <v>332</v>
      </c>
      <c r="C47" s="185" t="n">
        <f aca="false">2_Revenue!F4</f>
        <v>4</v>
      </c>
      <c r="D47" s="185" t="n">
        <f aca="false">2_Revenue!F5</f>
        <v>46</v>
      </c>
      <c r="E47" s="170" t="n">
        <f aca="false">2_Revenue!F8*REV_PRICE</f>
        <v>27360</v>
      </c>
      <c r="F47" s="170" t="n">
        <f aca="false">2_Revenue!F8*(REV_PRICE-COST_COGS)</f>
        <v>12768</v>
      </c>
      <c r="G47" s="170" t="n">
        <f aca="false">2_Revenue!F4*REV_REORDER_PROB*REV_REORDER_SIZE*REV_PRICE*CLN_CYCLES</f>
        <v>140448</v>
      </c>
      <c r="H47" s="170" t="n">
        <f aca="false">E47+G47</f>
        <v>167808</v>
      </c>
    </row>
    <row r="48" customFormat="false" ht="15" hidden="false" customHeight="true" outlineLevel="0" collapsed="false">
      <c r="A48" s="57" t="n">
        <v>6</v>
      </c>
      <c r="B48" s="57" t="s">
        <v>333</v>
      </c>
      <c r="C48" s="185" t="n">
        <f aca="false">2_Revenue!G4</f>
        <v>8</v>
      </c>
      <c r="D48" s="185" t="n">
        <f aca="false">2_Revenue!G5</f>
        <v>54</v>
      </c>
      <c r="E48" s="170" t="n">
        <f aca="false">2_Revenue!G8*REV_PRICE</f>
        <v>54720</v>
      </c>
      <c r="F48" s="170" t="n">
        <f aca="false">2_Revenue!G8*(REV_PRICE-COST_COGS)</f>
        <v>25536</v>
      </c>
      <c r="G48" s="170" t="n">
        <f aca="false">2_Revenue!G4*REV_REORDER_PROB*REV_REORDER_SIZE*REV_PRICE*CLN_CYCLES</f>
        <v>280896</v>
      </c>
      <c r="H48" s="170" t="n">
        <f aca="false">E48+G48</f>
        <v>335616</v>
      </c>
    </row>
    <row r="49" customFormat="false" ht="15" hidden="false" customHeight="true" outlineLevel="0" collapsed="false">
      <c r="A49" s="57" t="n">
        <v>7</v>
      </c>
      <c r="B49" s="57" t="s">
        <v>334</v>
      </c>
      <c r="C49" s="185" t="n">
        <f aca="false">2_Revenue!H4</f>
        <v>13</v>
      </c>
      <c r="D49" s="185" t="n">
        <f aca="false">2_Revenue!H5</f>
        <v>67</v>
      </c>
      <c r="E49" s="170" t="n">
        <f aca="false">2_Revenue!H8*REV_PRICE</f>
        <v>88920</v>
      </c>
      <c r="F49" s="170" t="n">
        <f aca="false">2_Revenue!H8*(REV_PRICE-COST_COGS)</f>
        <v>41496</v>
      </c>
      <c r="G49" s="170" t="n">
        <f aca="false">2_Revenue!H4*REV_REORDER_PROB*REV_REORDER_SIZE*REV_PRICE*CLN_CYCLES</f>
        <v>456456</v>
      </c>
      <c r="H49" s="170" t="n">
        <f aca="false">E49+G49</f>
        <v>545376</v>
      </c>
    </row>
    <row r="50" customFormat="false" ht="15" hidden="false" customHeight="true" outlineLevel="0" collapsed="false">
      <c r="A50" s="57" t="n">
        <v>8</v>
      </c>
      <c r="B50" s="57" t="s">
        <v>335</v>
      </c>
      <c r="C50" s="185" t="n">
        <f aca="false">2_Revenue!I4</f>
        <v>13</v>
      </c>
      <c r="D50" s="185" t="n">
        <f aca="false">2_Revenue!I5</f>
        <v>80</v>
      </c>
      <c r="E50" s="170" t="n">
        <f aca="false">2_Revenue!I8*REV_PRICE</f>
        <v>88920</v>
      </c>
      <c r="F50" s="170" t="n">
        <f aca="false">2_Revenue!I8*(REV_PRICE-COST_COGS)</f>
        <v>41496</v>
      </c>
      <c r="G50" s="170" t="n">
        <f aca="false">2_Revenue!I4*REV_REORDER_PROB*REV_REORDER_SIZE*REV_PRICE*CLN_CYCLES</f>
        <v>456456</v>
      </c>
      <c r="H50" s="170" t="n">
        <f aca="false">E50+G50</f>
        <v>545376</v>
      </c>
    </row>
    <row r="51" customFormat="false" ht="15" hidden="false" customHeight="true" outlineLevel="0" collapsed="false">
      <c r="A51" s="57" t="n">
        <v>9</v>
      </c>
      <c r="B51" s="57" t="s">
        <v>336</v>
      </c>
      <c r="C51" s="185" t="n">
        <f aca="false">2_Revenue!J4</f>
        <v>13</v>
      </c>
      <c r="D51" s="185" t="n">
        <f aca="false">2_Revenue!J5</f>
        <v>93</v>
      </c>
      <c r="E51" s="170" t="n">
        <f aca="false">2_Revenue!J8*REV_PRICE</f>
        <v>88920</v>
      </c>
      <c r="F51" s="170" t="n">
        <f aca="false">2_Revenue!J8*(REV_PRICE-COST_COGS)</f>
        <v>41496</v>
      </c>
      <c r="G51" s="170" t="n">
        <f aca="false">2_Revenue!J4*REV_REORDER_PROB*REV_REORDER_SIZE*REV_PRICE*CLN_CYCLES</f>
        <v>456456</v>
      </c>
      <c r="H51" s="170" t="n">
        <f aca="false">E51+G51</f>
        <v>545376</v>
      </c>
    </row>
    <row r="52" customFormat="false" ht="15" hidden="false" customHeight="true" outlineLevel="0" collapsed="false">
      <c r="A52" s="57" t="n">
        <v>10</v>
      </c>
      <c r="B52" s="57" t="s">
        <v>337</v>
      </c>
      <c r="C52" s="185" t="n">
        <f aca="false">2_Revenue!K4</f>
        <v>13</v>
      </c>
      <c r="D52" s="185" t="n">
        <f aca="false">2_Revenue!K5</f>
        <v>106</v>
      </c>
      <c r="E52" s="170" t="n">
        <f aca="false">2_Revenue!K8*REV_PRICE</f>
        <v>88920</v>
      </c>
      <c r="F52" s="170" t="n">
        <f aca="false">2_Revenue!K8*(REV_PRICE-COST_COGS)</f>
        <v>41496</v>
      </c>
      <c r="G52" s="170" t="n">
        <f aca="false">2_Revenue!K4*REV_REORDER_PROB*REV_REORDER_SIZE*REV_PRICE*CLN_CYCLES</f>
        <v>456456</v>
      </c>
      <c r="H52" s="170" t="n">
        <f aca="false">E52+G52</f>
        <v>545376</v>
      </c>
    </row>
    <row r="53" customFormat="false" ht="15" hidden="false" customHeight="true" outlineLevel="0" collapsed="false">
      <c r="A53" s="57" t="n">
        <v>11</v>
      </c>
      <c r="B53" s="57" t="s">
        <v>338</v>
      </c>
      <c r="C53" s="185" t="n">
        <f aca="false">2_Revenue!L4</f>
        <v>13</v>
      </c>
      <c r="D53" s="185" t="n">
        <f aca="false">2_Revenue!L5</f>
        <v>119</v>
      </c>
      <c r="E53" s="170" t="n">
        <f aca="false">2_Revenue!L8*REV_PRICE</f>
        <v>88920</v>
      </c>
      <c r="F53" s="170" t="n">
        <f aca="false">2_Revenue!L8*(REV_PRICE-COST_COGS)</f>
        <v>41496</v>
      </c>
      <c r="G53" s="170" t="n">
        <f aca="false">2_Revenue!L4*REV_REORDER_PROB*REV_REORDER_SIZE*REV_PRICE*CLN_CYCLES</f>
        <v>456456</v>
      </c>
      <c r="H53" s="170" t="n">
        <f aca="false">E53+G53</f>
        <v>545376</v>
      </c>
    </row>
    <row r="54" customFormat="false" ht="15" hidden="false" customHeight="true" outlineLevel="0" collapsed="false">
      <c r="A54" s="57" t="n">
        <v>12</v>
      </c>
      <c r="B54" s="57" t="s">
        <v>339</v>
      </c>
      <c r="C54" s="185" t="n">
        <f aca="false">2_Revenue!M4</f>
        <v>13</v>
      </c>
      <c r="D54" s="185" t="n">
        <f aca="false">2_Revenue!M5</f>
        <v>132</v>
      </c>
      <c r="E54" s="170" t="n">
        <f aca="false">2_Revenue!M8*REV_PRICE</f>
        <v>88920</v>
      </c>
      <c r="F54" s="170" t="n">
        <f aca="false">2_Revenue!M8*(REV_PRICE-COST_COGS)</f>
        <v>41496</v>
      </c>
      <c r="G54" s="170" t="n">
        <f aca="false">2_Revenue!M4*REV_REORDER_PROB*REV_REORDER_SIZE*REV_PRICE*CLN_CYCLES</f>
        <v>456456</v>
      </c>
      <c r="H54" s="170" t="n">
        <f aca="false">E54+G54</f>
        <v>545376</v>
      </c>
    </row>
    <row r="55" customFormat="false" ht="15" hidden="false" customHeight="true" outlineLevel="0" collapsed="false">
      <c r="A55" s="57" t="n">
        <v>13</v>
      </c>
      <c r="B55" s="57" t="s">
        <v>340</v>
      </c>
      <c r="C55" s="185" t="n">
        <f aca="false">2_Revenue!N4</f>
        <v>13</v>
      </c>
      <c r="D55" s="185" t="n">
        <f aca="false">2_Revenue!N5</f>
        <v>145</v>
      </c>
      <c r="E55" s="170" t="n">
        <f aca="false">2_Revenue!N8*REV_PRICE</f>
        <v>88920</v>
      </c>
      <c r="F55" s="170" t="n">
        <f aca="false">2_Revenue!N8*(REV_PRICE-COST_COGS)</f>
        <v>41496</v>
      </c>
      <c r="G55" s="170" t="n">
        <f aca="false">2_Revenue!N4*REV_REORDER_PROB*REV_REORDER_SIZE*REV_PRICE*CLN_CYCLES</f>
        <v>456456</v>
      </c>
      <c r="H55" s="170" t="n">
        <f aca="false">E55+G55</f>
        <v>545376</v>
      </c>
    </row>
    <row r="56" customFormat="false" ht="15" hidden="false" customHeight="true" outlineLevel="0" collapsed="false">
      <c r="A56" s="57" t="n">
        <v>14</v>
      </c>
      <c r="B56" s="57" t="s">
        <v>341</v>
      </c>
      <c r="C56" s="185" t="n">
        <f aca="false">2_Revenue!O4</f>
        <v>13</v>
      </c>
      <c r="D56" s="185" t="n">
        <f aca="false">2_Revenue!O5</f>
        <v>158</v>
      </c>
      <c r="E56" s="170" t="n">
        <f aca="false">2_Revenue!O8*REV_PRICE</f>
        <v>88920</v>
      </c>
      <c r="F56" s="170" t="n">
        <f aca="false">2_Revenue!O8*(REV_PRICE-COST_COGS)</f>
        <v>41496</v>
      </c>
      <c r="G56" s="170" t="n">
        <f aca="false">2_Revenue!O4*REV_REORDER_PROB*REV_REORDER_SIZE*REV_PRICE*CLN_CYCLES</f>
        <v>456456</v>
      </c>
      <c r="H56" s="170" t="n">
        <f aca="false">E56+G56</f>
        <v>545376</v>
      </c>
    </row>
    <row r="57" customFormat="false" ht="15" hidden="false" customHeight="true" outlineLevel="0" collapsed="false">
      <c r="A57" s="57" t="n">
        <v>15</v>
      </c>
      <c r="B57" s="57" t="s">
        <v>342</v>
      </c>
      <c r="C57" s="185" t="n">
        <f aca="false">2_Revenue!P4</f>
        <v>13</v>
      </c>
      <c r="D57" s="185" t="n">
        <f aca="false">2_Revenue!P5</f>
        <v>171</v>
      </c>
      <c r="E57" s="170" t="n">
        <f aca="false">2_Revenue!P8*REV_PRICE</f>
        <v>88920</v>
      </c>
      <c r="F57" s="170" t="n">
        <f aca="false">2_Revenue!P8*(REV_PRICE-COST_COGS)</f>
        <v>41496</v>
      </c>
      <c r="G57" s="170" t="n">
        <f aca="false">2_Revenue!P4*REV_REORDER_PROB*REV_REORDER_SIZE*REV_PRICE*CLN_CYCLES</f>
        <v>456456</v>
      </c>
      <c r="H57" s="170" t="n">
        <f aca="false">E57+G57</f>
        <v>545376</v>
      </c>
    </row>
    <row r="58" customFormat="false" ht="15" hidden="false" customHeight="true" outlineLevel="0" collapsed="false">
      <c r="A58" s="57" t="n">
        <v>16</v>
      </c>
      <c r="B58" s="57" t="s">
        <v>343</v>
      </c>
      <c r="C58" s="185" t="n">
        <f aca="false">2_Revenue!Q4</f>
        <v>13</v>
      </c>
      <c r="D58" s="185" t="n">
        <f aca="false">2_Revenue!Q5</f>
        <v>184</v>
      </c>
      <c r="E58" s="170" t="n">
        <f aca="false">2_Revenue!Q8*REV_PRICE</f>
        <v>88920</v>
      </c>
      <c r="F58" s="170" t="n">
        <f aca="false">2_Revenue!Q8*(REV_PRICE-COST_COGS)</f>
        <v>41496</v>
      </c>
      <c r="G58" s="170" t="n">
        <f aca="false">2_Revenue!Q4*REV_REORDER_PROB*REV_REORDER_SIZE*REV_PRICE*CLN_CYCLES</f>
        <v>456456</v>
      </c>
      <c r="H58" s="170" t="n">
        <f aca="false">E58+G58</f>
        <v>545376</v>
      </c>
    </row>
    <row r="59" customFormat="false" ht="15" hidden="false" customHeight="true" outlineLevel="0" collapsed="false">
      <c r="A59" s="57" t="n">
        <v>17</v>
      </c>
      <c r="B59" s="57" t="s">
        <v>344</v>
      </c>
      <c r="C59" s="185" t="n">
        <f aca="false">2_Revenue!R4</f>
        <v>13</v>
      </c>
      <c r="D59" s="185" t="n">
        <f aca="false">2_Revenue!R5</f>
        <v>197</v>
      </c>
      <c r="E59" s="170" t="n">
        <f aca="false">2_Revenue!R8*REV_PRICE</f>
        <v>88920</v>
      </c>
      <c r="F59" s="170" t="n">
        <f aca="false">2_Revenue!R8*(REV_PRICE-COST_COGS)</f>
        <v>41496</v>
      </c>
      <c r="G59" s="170" t="n">
        <f aca="false">2_Revenue!R4*REV_REORDER_PROB*REV_REORDER_SIZE*REV_PRICE*CLN_CYCLES</f>
        <v>456456</v>
      </c>
      <c r="H59" s="170" t="n">
        <f aca="false">E59+G59</f>
        <v>545376</v>
      </c>
    </row>
    <row r="60" customFormat="false" ht="15" hidden="false" customHeight="true" outlineLevel="0" collapsed="false">
      <c r="A60" s="57" t="n">
        <v>18</v>
      </c>
      <c r="B60" s="57" t="s">
        <v>345</v>
      </c>
      <c r="C60" s="185" t="n">
        <f aca="false">2_Revenue!S4</f>
        <v>13</v>
      </c>
      <c r="D60" s="185" t="n">
        <f aca="false">2_Revenue!S5</f>
        <v>210</v>
      </c>
      <c r="E60" s="170" t="n">
        <f aca="false">2_Revenue!S8*REV_PRICE</f>
        <v>88920</v>
      </c>
      <c r="F60" s="170" t="n">
        <f aca="false">2_Revenue!S8*(REV_PRICE-COST_COGS)</f>
        <v>41496</v>
      </c>
      <c r="G60" s="170" t="n">
        <f aca="false">2_Revenue!S4*REV_REORDER_PROB*REV_REORDER_SIZE*REV_PRICE*CLN_CYCLES</f>
        <v>456456</v>
      </c>
      <c r="H60" s="170" t="n">
        <f aca="false">E60+G60</f>
        <v>545376</v>
      </c>
    </row>
    <row r="61" customFormat="false" ht="15" hidden="false" customHeight="true" outlineLevel="0" collapsed="false">
      <c r="A61" s="167" t="s">
        <v>769</v>
      </c>
      <c r="C61" s="168" t="n">
        <f aca="false">SUM(C43:C60)</f>
        <v>168</v>
      </c>
      <c r="E61" s="168" t="n">
        <f aca="false">SUM(E43:E60)</f>
        <v>1149120</v>
      </c>
      <c r="F61" s="168" t="n">
        <f aca="false">SUM(F43:F60)</f>
        <v>536256</v>
      </c>
      <c r="G61" s="168" t="n">
        <f aca="false">SUM(G43:G60)</f>
        <v>5898816</v>
      </c>
      <c r="H61" s="168" t="n">
        <f aca="false">SUM(H43:H60)</f>
        <v>7047936</v>
      </c>
    </row>
    <row r="63" customFormat="false" ht="15" hidden="false" customHeight="true" outlineLevel="0" collapsed="false">
      <c r="A63" s="162" t="s">
        <v>1042</v>
      </c>
      <c r="B63" s="162"/>
      <c r="C63" s="162"/>
    </row>
    <row r="64" customFormat="false" ht="15" hidden="false" customHeight="true" outlineLevel="0" collapsed="false">
      <c r="A64" s="176" t="s">
        <v>1043</v>
      </c>
    </row>
    <row r="65" customFormat="false" ht="15" hidden="false" customHeight="true" outlineLevel="0" collapsed="false">
      <c r="A65" s="164" t="s">
        <v>1044</v>
      </c>
      <c r="B65" s="170" t="n">
        <f aca="false">B28*1.5</f>
        <v>62928</v>
      </c>
    </row>
    <row r="66" customFormat="false" ht="15" hidden="false" customHeight="true" outlineLevel="0" collapsed="false">
      <c r="A66" s="164" t="s">
        <v>1045</v>
      </c>
      <c r="B66" s="170" t="n">
        <f aca="false">B29*1.5</f>
        <v>29366.4</v>
      </c>
    </row>
    <row r="67" customFormat="false" ht="15" hidden="false" customHeight="true" outlineLevel="0" collapsed="false">
      <c r="A67" s="164" t="s">
        <v>1046</v>
      </c>
      <c r="B67" s="114" t="n">
        <f aca="false">IFERROR(B65/B33,0)</f>
        <v>251.712</v>
      </c>
    </row>
  </sheetData>
  <mergeCells count="6">
    <mergeCell ref="A1:H1"/>
    <mergeCell ref="A3:C3"/>
    <mergeCell ref="A17:C17"/>
    <mergeCell ref="A31:C31"/>
    <mergeCell ref="A41:H41"/>
    <mergeCell ref="A63:C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8"/>
  </cols>
  <sheetData>
    <row r="1" customFormat="false" ht="24" hidden="false" customHeight="true" outlineLevel="0" collapsed="false">
      <c r="A1" s="69" t="s">
        <v>1047</v>
      </c>
      <c r="B1" s="69"/>
      <c r="C1" s="69"/>
      <c r="D1" s="69"/>
      <c r="E1" s="69"/>
      <c r="F1" s="69"/>
      <c r="G1" s="69"/>
      <c r="H1" s="69"/>
      <c r="I1" s="69"/>
    </row>
    <row r="2" customFormat="false" ht="27.75" hidden="false" customHeight="true" outlineLevel="0" collapsed="false">
      <c r="A2" s="72" t="s">
        <v>1048</v>
      </c>
    </row>
    <row r="4" customFormat="false" ht="15" hidden="false" customHeight="true" outlineLevel="0" collapsed="false">
      <c r="A4" s="186" t="s">
        <v>1049</v>
      </c>
      <c r="B4" s="186"/>
      <c r="C4" s="186"/>
      <c r="D4" s="186"/>
    </row>
    <row r="5" customFormat="false" ht="15" hidden="false" customHeight="true" outlineLevel="0" collapsed="false">
      <c r="A5" s="65" t="s">
        <v>581</v>
      </c>
      <c r="B5" s="187" t="n">
        <f aca="false">1_Inputs!B127</f>
        <v>5000</v>
      </c>
    </row>
    <row r="6" customFormat="false" ht="15" hidden="false" customHeight="true" outlineLevel="0" collapsed="false">
      <c r="A6" s="65" t="s">
        <v>1050</v>
      </c>
      <c r="B6" s="188" t="n">
        <f aca="false">1_Inputs!B128</f>
        <v>0.05</v>
      </c>
    </row>
    <row r="7" customFormat="false" ht="15" hidden="false" customHeight="true" outlineLevel="0" collapsed="false">
      <c r="A7" s="65" t="s">
        <v>1051</v>
      </c>
      <c r="B7" s="188" t="n">
        <f aca="false">1_Inputs!B129</f>
        <v>0.15</v>
      </c>
    </row>
    <row r="8" customFormat="false" ht="15" hidden="false" customHeight="true" outlineLevel="0" collapsed="false">
      <c r="A8" s="65" t="s">
        <v>587</v>
      </c>
      <c r="B8" s="189" t="n">
        <f aca="false">1_Inputs!B130</f>
        <v>8000</v>
      </c>
    </row>
    <row r="9" customFormat="false" ht="15" hidden="false" customHeight="true" outlineLevel="0" collapsed="false">
      <c r="A9" s="65" t="s">
        <v>589</v>
      </c>
      <c r="B9" s="188" t="n">
        <f aca="false">1_Inputs!B131</f>
        <v>0.3</v>
      </c>
    </row>
    <row r="10" customFormat="false" ht="15" hidden="false" customHeight="true" outlineLevel="0" collapsed="false">
      <c r="A10" s="65" t="s">
        <v>1052</v>
      </c>
      <c r="B10" s="188" t="n">
        <f aca="false">1_Inputs!B113</f>
        <v>0.25</v>
      </c>
    </row>
    <row r="11" customFormat="false" ht="15" hidden="false" customHeight="true" outlineLevel="0" collapsed="false">
      <c r="A11" s="65" t="s">
        <v>1053</v>
      </c>
      <c r="B11" s="189" t="n">
        <f aca="false">11_DCF!B54</f>
        <v>655171.296083085</v>
      </c>
    </row>
    <row r="12" customFormat="false" ht="15" hidden="false" customHeight="true" outlineLevel="0" collapsed="false">
      <c r="A12" s="65" t="s">
        <v>1054</v>
      </c>
      <c r="B12" s="189" t="n">
        <f aca="false">11_DCF!B72</f>
        <v>7500000</v>
      </c>
    </row>
    <row r="14" customFormat="false" ht="15" hidden="false" customHeight="true" outlineLevel="0" collapsed="false">
      <c r="A14" s="186" t="s">
        <v>1055</v>
      </c>
      <c r="B14" s="186"/>
      <c r="C14" s="186"/>
      <c r="D14" s="186"/>
      <c r="E14" s="186"/>
      <c r="F14" s="186"/>
      <c r="G14" s="186"/>
      <c r="H14" s="186"/>
      <c r="I14" s="186"/>
    </row>
    <row r="15" customFormat="false" ht="15" hidden="false" customHeight="true" outlineLevel="0" collapsed="false">
      <c r="A15" s="72" t="s">
        <v>1056</v>
      </c>
    </row>
    <row r="16" customFormat="false" ht="15" hidden="false" customHeight="true" outlineLevel="0" collapsed="false">
      <c r="A16" s="190"/>
      <c r="B16" s="190" t="s">
        <v>1057</v>
      </c>
      <c r="C16" s="190" t="s">
        <v>910</v>
      </c>
      <c r="D16" s="190" t="s">
        <v>911</v>
      </c>
      <c r="E16" s="190" t="s">
        <v>912</v>
      </c>
      <c r="F16" s="190" t="s">
        <v>913</v>
      </c>
    </row>
    <row r="17" customFormat="false" ht="15" hidden="false" customHeight="true" outlineLevel="0" collapsed="false">
      <c r="A17" s="65" t="s">
        <v>1058</v>
      </c>
      <c r="B17" s="191" t="n">
        <f aca="false">$B$5</f>
        <v>5000</v>
      </c>
      <c r="C17" s="191" t="n">
        <f aca="false">$B$5</f>
        <v>5000</v>
      </c>
      <c r="D17" s="191" t="n">
        <f aca="false">$B$5</f>
        <v>5000</v>
      </c>
      <c r="E17" s="191" t="n">
        <f aca="false">$B$5</f>
        <v>5000</v>
      </c>
      <c r="F17" s="191" t="n">
        <f aca="false">$B$5</f>
        <v>5000</v>
      </c>
    </row>
    <row r="18" customFormat="false" ht="15" hidden="false" customHeight="true" outlineLevel="0" collapsed="false">
      <c r="A18" s="65" t="s">
        <v>1059</v>
      </c>
      <c r="B18" s="192" t="n">
        <f aca="false">$B$6</f>
        <v>0.05</v>
      </c>
      <c r="C18" s="192" t="n">
        <f aca="false">($B$6+$B$7)/2</f>
        <v>0.1</v>
      </c>
      <c r="D18" s="192" t="n">
        <f aca="false">$B$7</f>
        <v>0.15</v>
      </c>
      <c r="E18" s="192" t="n">
        <f aca="false">$B$7</f>
        <v>0.15</v>
      </c>
      <c r="F18" s="192" t="n">
        <f aca="false">$B$7</f>
        <v>0.15</v>
      </c>
    </row>
    <row r="19" customFormat="false" ht="15" hidden="false" customHeight="true" outlineLevel="0" collapsed="false">
      <c r="A19" s="65" t="s">
        <v>1060</v>
      </c>
      <c r="B19" s="191" t="n">
        <f aca="false">ROUND($B$5*B18,0)</f>
        <v>250</v>
      </c>
      <c r="C19" s="191" t="n">
        <f aca="false">ROUND($B$5*C18,0)</f>
        <v>500</v>
      </c>
      <c r="D19" s="191" t="n">
        <f aca="false">ROUND($B$5*D18,0)</f>
        <v>750</v>
      </c>
      <c r="E19" s="191" t="n">
        <f aca="false">ROUND($B$5*E18,0)</f>
        <v>750</v>
      </c>
      <c r="F19" s="191" t="n">
        <f aca="false">ROUND($B$5*F18,0)</f>
        <v>750</v>
      </c>
    </row>
    <row r="20" customFormat="false" ht="15" hidden="false" customHeight="true" outlineLevel="0" collapsed="false">
      <c r="A20" s="65" t="s">
        <v>1061</v>
      </c>
      <c r="B20" s="193" t="n">
        <f aca="false">$B$8</f>
        <v>8000</v>
      </c>
      <c r="C20" s="193" t="n">
        <f aca="false">$B$8</f>
        <v>8000</v>
      </c>
      <c r="D20" s="193" t="n">
        <f aca="false">$B$8</f>
        <v>8000</v>
      </c>
      <c r="E20" s="193" t="n">
        <f aca="false">$B$8</f>
        <v>8000</v>
      </c>
      <c r="F20" s="193" t="n">
        <f aca="false">$B$8</f>
        <v>8000</v>
      </c>
    </row>
    <row r="21" customFormat="false" ht="15" hidden="false" customHeight="true" outlineLevel="0" collapsed="false">
      <c r="A21" s="65" t="s">
        <v>1062</v>
      </c>
      <c r="B21" s="194" t="n">
        <f aca="false">B19*B20</f>
        <v>2000000</v>
      </c>
      <c r="C21" s="194" t="n">
        <f aca="false">C19*C20</f>
        <v>4000000</v>
      </c>
      <c r="D21" s="194" t="n">
        <f aca="false">D19*D20</f>
        <v>6000000</v>
      </c>
      <c r="E21" s="194" t="n">
        <f aca="false">E19*E20</f>
        <v>6000000</v>
      </c>
      <c r="F21" s="194" t="n">
        <f aca="false">F19*F20</f>
        <v>6000000</v>
      </c>
    </row>
    <row r="24" customFormat="false" ht="15" hidden="false" customHeight="true" outlineLevel="0" collapsed="false">
      <c r="A24" s="186" t="s">
        <v>1063</v>
      </c>
      <c r="B24" s="186"/>
      <c r="C24" s="186"/>
      <c r="D24" s="186"/>
      <c r="E24" s="186"/>
      <c r="F24" s="186"/>
      <c r="G24" s="186"/>
      <c r="H24" s="186"/>
      <c r="I24" s="186"/>
    </row>
    <row r="25" customFormat="false" ht="15" hidden="false" customHeight="true" outlineLevel="0" collapsed="false">
      <c r="A25" s="65" t="s">
        <v>559</v>
      </c>
      <c r="B25" s="192" t="n">
        <f aca="false">$B$10</f>
        <v>0.25</v>
      </c>
    </row>
    <row r="26" customFormat="false" ht="15" hidden="false" customHeight="true" outlineLevel="0" collapsed="false">
      <c r="A26" s="65" t="s">
        <v>1064</v>
      </c>
      <c r="B26" s="195" t="n">
        <f aca="false">1/(1+$B$10)^1</f>
        <v>0.8</v>
      </c>
    </row>
    <row r="27" customFormat="false" ht="15" hidden="false" customHeight="true" outlineLevel="0" collapsed="false">
      <c r="A27" s="65" t="s">
        <v>1065</v>
      </c>
      <c r="B27" s="195" t="n">
        <f aca="false">1/(1+$B$10)^2</f>
        <v>0.64</v>
      </c>
    </row>
    <row r="28" customFormat="false" ht="15" hidden="false" customHeight="true" outlineLevel="0" collapsed="false">
      <c r="A28" s="65" t="s">
        <v>1066</v>
      </c>
      <c r="B28" s="195" t="n">
        <f aca="false">1/(1+$B$10)^3</f>
        <v>0.512</v>
      </c>
    </row>
    <row r="29" customFormat="false" ht="15" hidden="false" customHeight="true" outlineLevel="0" collapsed="false">
      <c r="A29" s="65" t="s">
        <v>1067</v>
      </c>
      <c r="B29" s="195" t="n">
        <f aca="false">1/(1+$B$10)^4</f>
        <v>0.4096</v>
      </c>
    </row>
    <row r="30" customFormat="false" ht="15" hidden="false" customHeight="true" outlineLevel="0" collapsed="false">
      <c r="A30" s="65" t="s">
        <v>1068</v>
      </c>
      <c r="B30" s="195" t="n">
        <f aca="false">1/(1+$B$10)^5</f>
        <v>0.32768</v>
      </c>
    </row>
    <row r="31" customFormat="false" ht="15" hidden="false" customHeight="true" outlineLevel="0" collapsed="false">
      <c r="A31" s="65" t="s">
        <v>1069</v>
      </c>
      <c r="B31" s="193" t="n">
        <f aca="false">B21*B26</f>
        <v>1600000</v>
      </c>
    </row>
    <row r="32" customFormat="false" ht="15" hidden="false" customHeight="true" outlineLevel="0" collapsed="false">
      <c r="A32" s="65" t="s">
        <v>1070</v>
      </c>
      <c r="B32" s="193" t="n">
        <f aca="false">C21*B27</f>
        <v>2560000</v>
      </c>
    </row>
    <row r="33" customFormat="false" ht="15" hidden="false" customHeight="true" outlineLevel="0" collapsed="false">
      <c r="A33" s="65" t="s">
        <v>1071</v>
      </c>
      <c r="B33" s="193" t="n">
        <f aca="false">D21*B28</f>
        <v>3072000</v>
      </c>
    </row>
    <row r="34" customFormat="false" ht="15" hidden="false" customHeight="true" outlineLevel="0" collapsed="false">
      <c r="A34" s="65" t="s">
        <v>1072</v>
      </c>
      <c r="B34" s="193" t="n">
        <f aca="false">E21*B29</f>
        <v>2457600</v>
      </c>
    </row>
    <row r="35" customFormat="false" ht="15" hidden="false" customHeight="true" outlineLevel="0" collapsed="false">
      <c r="A35" s="65" t="s">
        <v>1073</v>
      </c>
      <c r="B35" s="193" t="n">
        <f aca="false">F21*B30</f>
        <v>1966080</v>
      </c>
    </row>
    <row r="36" customFormat="false" ht="15" hidden="false" customHeight="true" outlineLevel="0" collapsed="false">
      <c r="A36" s="196" t="s">
        <v>1074</v>
      </c>
      <c r="B36" s="197" t="n">
        <f aca="false">SUM(B31:B35)</f>
        <v>11655680</v>
      </c>
    </row>
    <row r="38" customFormat="false" ht="15" hidden="false" customHeight="true" outlineLevel="0" collapsed="false">
      <c r="A38" s="186" t="s">
        <v>1075</v>
      </c>
      <c r="B38" s="186"/>
      <c r="C38" s="186"/>
      <c r="D38" s="186"/>
      <c r="E38" s="186"/>
      <c r="F38" s="186"/>
      <c r="G38" s="186"/>
      <c r="H38" s="186"/>
      <c r="I38" s="186"/>
    </row>
    <row r="39" customFormat="false" ht="15" hidden="false" customHeight="true" outlineLevel="0" collapsed="false">
      <c r="A39" s="65" t="s">
        <v>1076</v>
      </c>
      <c r="B39" s="193" t="n">
        <f aca="false">$B$11</f>
        <v>655171.296083085</v>
      </c>
    </row>
    <row r="40" customFormat="false" ht="15" hidden="false" customHeight="true" outlineLevel="0" collapsed="false">
      <c r="A40" s="65" t="s">
        <v>1077</v>
      </c>
      <c r="B40" s="193" t="n">
        <f aca="false">$B$36</f>
        <v>11655680</v>
      </c>
    </row>
    <row r="41" customFormat="false" ht="15" hidden="false" customHeight="true" outlineLevel="0" collapsed="false">
      <c r="A41" s="65" t="s">
        <v>1078</v>
      </c>
      <c r="B41" s="192" t="n">
        <f aca="false">$B$9</f>
        <v>0.3</v>
      </c>
    </row>
    <row r="42" customFormat="false" ht="15" hidden="false" customHeight="true" outlineLevel="0" collapsed="false">
      <c r="A42" s="65" t="s">
        <v>1079</v>
      </c>
      <c r="B42" s="193" t="n">
        <f aca="false">$B$40*$B$41</f>
        <v>3496704</v>
      </c>
    </row>
    <row r="43" customFormat="false" ht="15" hidden="false" customHeight="true" outlineLevel="0" collapsed="false">
      <c r="A43" s="198" t="s">
        <v>1080</v>
      </c>
      <c r="B43" s="199" t="n">
        <f aca="false">$B$39+$B$40+$B$42</f>
        <v>15807555.2960831</v>
      </c>
    </row>
    <row r="44" customFormat="false" ht="15" hidden="false" customHeight="true" outlineLevel="0" collapsed="false">
      <c r="A44" s="65" t="s">
        <v>1081</v>
      </c>
      <c r="B44" s="193" t="n">
        <f aca="false">$B$12</f>
        <v>7500000</v>
      </c>
    </row>
    <row r="45" customFormat="false" ht="15" hidden="false" customHeight="true" outlineLevel="0" collapsed="false">
      <c r="A45" s="65" t="s">
        <v>1082</v>
      </c>
      <c r="B45" s="192" t="n">
        <f aca="false">IFERROR(($B$43-$B$44)/$B$44,0)</f>
        <v>1.10767403947774</v>
      </c>
    </row>
    <row r="46" customFormat="false" ht="15" hidden="false" customHeight="true" outlineLevel="0" collapsed="false">
      <c r="A46" s="65" t="s">
        <v>1083</v>
      </c>
      <c r="B46" s="192" t="n">
        <f aca="false">IFERROR(($B$43-$B$39)/$B$39,0)</f>
        <v>23.1273624021503</v>
      </c>
    </row>
    <row r="48" customFormat="false" ht="15" hidden="false" customHeight="true" outlineLevel="0" collapsed="false">
      <c r="A48" s="186" t="s">
        <v>1084</v>
      </c>
      <c r="B48" s="186"/>
      <c r="C48" s="186"/>
      <c r="D48" s="186"/>
      <c r="E48" s="186"/>
      <c r="F48" s="186"/>
      <c r="G48" s="186"/>
      <c r="H48" s="186"/>
      <c r="I48" s="186"/>
    </row>
    <row r="49" customFormat="false" ht="15" hidden="false" customHeight="true" outlineLevel="0" collapsed="false">
      <c r="A49" s="72" t="s">
        <v>1085</v>
      </c>
    </row>
    <row r="50" customFormat="false" ht="15" hidden="false" customHeight="true" outlineLevel="0" collapsed="false">
      <c r="A50" s="200" t="s">
        <v>1086</v>
      </c>
      <c r="B50" s="201" t="n">
        <v>4000</v>
      </c>
      <c r="C50" s="201" t="n">
        <v>6000</v>
      </c>
      <c r="D50" s="201" t="n">
        <v>8000</v>
      </c>
      <c r="E50" s="201" t="n">
        <v>10000</v>
      </c>
      <c r="F50" s="201" t="n">
        <v>12000</v>
      </c>
    </row>
    <row r="51" customFormat="false" ht="15" hidden="false" customHeight="true" outlineLevel="0" collapsed="false">
      <c r="A51" s="202" t="n">
        <v>0.02</v>
      </c>
      <c r="B51" s="193" t="n">
        <v>400000</v>
      </c>
      <c r="C51" s="193" t="n">
        <v>600000</v>
      </c>
      <c r="D51" s="193" t="n">
        <v>800000</v>
      </c>
      <c r="E51" s="193" t="n">
        <v>1000000</v>
      </c>
      <c r="F51" s="193" t="n">
        <v>1200000</v>
      </c>
    </row>
    <row r="52" customFormat="false" ht="15" hidden="false" customHeight="true" outlineLevel="0" collapsed="false">
      <c r="A52" s="202" t="n">
        <v>0.05</v>
      </c>
      <c r="B52" s="193" t="n">
        <v>1000000</v>
      </c>
      <c r="C52" s="193" t="n">
        <v>1500000</v>
      </c>
      <c r="D52" s="193" t="n">
        <v>2000000</v>
      </c>
      <c r="E52" s="193" t="n">
        <v>2500000</v>
      </c>
      <c r="F52" s="193" t="n">
        <v>3000000</v>
      </c>
    </row>
    <row r="53" customFormat="false" ht="15" hidden="false" customHeight="true" outlineLevel="0" collapsed="false">
      <c r="A53" s="202" t="n">
        <v>0.1</v>
      </c>
      <c r="B53" s="193" t="n">
        <v>2000000</v>
      </c>
      <c r="C53" s="193" t="n">
        <v>3000000</v>
      </c>
      <c r="D53" s="193" t="n">
        <v>4000000</v>
      </c>
      <c r="E53" s="193" t="n">
        <v>5000000</v>
      </c>
      <c r="F53" s="193" t="n">
        <v>6000000</v>
      </c>
    </row>
    <row r="54" customFormat="false" ht="15" hidden="false" customHeight="true" outlineLevel="0" collapsed="false">
      <c r="A54" s="202" t="n">
        <v>0.15</v>
      </c>
      <c r="B54" s="193" t="n">
        <v>3000000</v>
      </c>
      <c r="C54" s="193" t="n">
        <v>4500000</v>
      </c>
      <c r="D54" s="203" t="n">
        <v>6000000</v>
      </c>
      <c r="E54" s="193" t="n">
        <v>7500000</v>
      </c>
      <c r="F54" s="193" t="n">
        <v>9000000</v>
      </c>
    </row>
    <row r="55" customFormat="false" ht="15" hidden="false" customHeight="true" outlineLevel="0" collapsed="false">
      <c r="A55" s="202" t="n">
        <v>0.2</v>
      </c>
      <c r="B55" s="193" t="n">
        <v>4000000</v>
      </c>
      <c r="C55" s="193" t="n">
        <v>6000000</v>
      </c>
      <c r="D55" s="193" t="n">
        <v>8000000</v>
      </c>
      <c r="E55" s="193" t="n">
        <v>10000000</v>
      </c>
      <c r="F55" s="193" t="n">
        <v>12000000</v>
      </c>
    </row>
    <row r="56" customFormat="false" ht="15" hidden="false" customHeight="true" outlineLevel="0" collapsed="false">
      <c r="A56" s="204" t="s">
        <v>1087</v>
      </c>
    </row>
  </sheetData>
  <mergeCells count="6">
    <mergeCell ref="A1:I1"/>
    <mergeCell ref="A4:D4"/>
    <mergeCell ref="A14:I14"/>
    <mergeCell ref="A24:I24"/>
    <mergeCell ref="A38:I38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35"/>
    <col collapsed="false" customWidth="true" hidden="false" outlineLevel="0" max="7" min="7" style="1" width="22"/>
    <col collapsed="false" customWidth="true" hidden="false" outlineLevel="0" max="8" min="8" style="1" width="38"/>
  </cols>
  <sheetData>
    <row r="1" customFormat="false" ht="24" hidden="false" customHeight="true" outlineLevel="0" collapsed="false">
      <c r="A1" s="69" t="s">
        <v>1088</v>
      </c>
      <c r="B1" s="69"/>
      <c r="C1" s="69"/>
      <c r="D1" s="69"/>
      <c r="E1" s="69"/>
      <c r="F1" s="69"/>
      <c r="G1" s="69"/>
      <c r="H1" s="69"/>
    </row>
    <row r="2" customFormat="false" ht="15" hidden="false" customHeight="true" outlineLevel="0" collapsed="false">
      <c r="A2" s="72" t="s">
        <v>1089</v>
      </c>
    </row>
    <row r="4" customFormat="false" ht="27.75" hidden="false" customHeight="true" outlineLevel="0" collapsed="false">
      <c r="A4" s="205" t="s">
        <v>1090</v>
      </c>
      <c r="B4" s="205" t="s">
        <v>1091</v>
      </c>
      <c r="C4" s="205" t="s">
        <v>1092</v>
      </c>
      <c r="D4" s="205" t="s">
        <v>1093</v>
      </c>
      <c r="E4" s="205" t="s">
        <v>1094</v>
      </c>
      <c r="F4" s="205" t="s">
        <v>1095</v>
      </c>
      <c r="G4" s="205" t="s">
        <v>1096</v>
      </c>
      <c r="H4" s="205" t="s">
        <v>1097</v>
      </c>
    </row>
    <row r="5" customFormat="false" ht="39.75" hidden="false" customHeight="true" outlineLevel="0" collapsed="false">
      <c r="A5" s="206" t="s">
        <v>1098</v>
      </c>
      <c r="B5" s="206" t="s">
        <v>1099</v>
      </c>
      <c r="C5" s="207" t="s">
        <v>1100</v>
      </c>
      <c r="D5" s="208" t="s">
        <v>1101</v>
      </c>
      <c r="E5" s="209" t="s">
        <v>1102</v>
      </c>
      <c r="F5" s="206" t="s">
        <v>1103</v>
      </c>
      <c r="G5" s="206" t="s">
        <v>1104</v>
      </c>
      <c r="H5" s="206" t="s">
        <v>1105</v>
      </c>
    </row>
    <row r="6" customFormat="false" ht="39.75" hidden="false" customHeight="true" outlineLevel="0" collapsed="false">
      <c r="A6" s="206" t="s">
        <v>1106</v>
      </c>
      <c r="B6" s="206" t="s">
        <v>1107</v>
      </c>
      <c r="C6" s="210" t="s">
        <v>1108</v>
      </c>
      <c r="D6" s="211" t="s">
        <v>1109</v>
      </c>
      <c r="E6" s="209" t="s">
        <v>1110</v>
      </c>
      <c r="F6" s="206" t="s">
        <v>1111</v>
      </c>
      <c r="G6" s="206" t="s">
        <v>1112</v>
      </c>
      <c r="H6" s="206" t="s">
        <v>1113</v>
      </c>
    </row>
    <row r="7" customFormat="false" ht="39.75" hidden="false" customHeight="true" outlineLevel="0" collapsed="false">
      <c r="A7" s="206" t="s">
        <v>1114</v>
      </c>
      <c r="B7" s="206" t="s">
        <v>1115</v>
      </c>
      <c r="C7" s="212" t="s">
        <v>1116</v>
      </c>
      <c r="D7" s="211" t="s">
        <v>1109</v>
      </c>
      <c r="E7" s="209" t="s">
        <v>1110</v>
      </c>
      <c r="F7" s="206" t="s">
        <v>1117</v>
      </c>
      <c r="G7" s="206" t="s">
        <v>1118</v>
      </c>
      <c r="H7" s="206" t="s">
        <v>1119</v>
      </c>
    </row>
    <row r="8" customFormat="false" ht="39.75" hidden="false" customHeight="true" outlineLevel="0" collapsed="false">
      <c r="A8" s="206" t="s">
        <v>1120</v>
      </c>
      <c r="B8" s="206" t="s">
        <v>1121</v>
      </c>
      <c r="C8" s="207" t="s">
        <v>1100</v>
      </c>
      <c r="D8" s="208" t="s">
        <v>1101</v>
      </c>
      <c r="E8" s="209" t="s">
        <v>1122</v>
      </c>
      <c r="F8" s="206" t="s">
        <v>1123</v>
      </c>
      <c r="G8" s="206" t="s">
        <v>1124</v>
      </c>
      <c r="H8" s="206" t="s">
        <v>1125</v>
      </c>
    </row>
    <row r="9" customFormat="false" ht="39.75" hidden="false" customHeight="true" outlineLevel="0" collapsed="false">
      <c r="A9" s="206" t="s">
        <v>1126</v>
      </c>
      <c r="B9" s="206" t="s">
        <v>1127</v>
      </c>
      <c r="C9" s="207" t="s">
        <v>1100</v>
      </c>
      <c r="D9" s="213" t="s">
        <v>1128</v>
      </c>
      <c r="E9" s="209" t="s">
        <v>1129</v>
      </c>
      <c r="F9" s="206" t="s">
        <v>1130</v>
      </c>
      <c r="G9" s="206" t="s">
        <v>1131</v>
      </c>
      <c r="H9" s="206" t="s">
        <v>1132</v>
      </c>
    </row>
    <row r="10" customFormat="false" ht="39.75" hidden="false" customHeight="true" outlineLevel="0" collapsed="false">
      <c r="A10" s="206" t="s">
        <v>1133</v>
      </c>
      <c r="B10" s="206" t="s">
        <v>1134</v>
      </c>
      <c r="C10" s="207" t="s">
        <v>1100</v>
      </c>
      <c r="D10" s="213" t="s">
        <v>1128</v>
      </c>
      <c r="E10" s="209" t="s">
        <v>1135</v>
      </c>
      <c r="F10" s="206" t="s">
        <v>1136</v>
      </c>
      <c r="G10" s="206" t="s">
        <v>1137</v>
      </c>
      <c r="H10" s="206" t="s">
        <v>1138</v>
      </c>
    </row>
    <row r="11" customFormat="false" ht="39.75" hidden="false" customHeight="true" outlineLevel="0" collapsed="false">
      <c r="A11" s="206" t="s">
        <v>1139</v>
      </c>
      <c r="B11" s="206" t="s">
        <v>1140</v>
      </c>
      <c r="C11" s="207" t="s">
        <v>1100</v>
      </c>
      <c r="D11" s="213" t="s">
        <v>1128</v>
      </c>
      <c r="E11" s="209" t="s">
        <v>1141</v>
      </c>
      <c r="F11" s="206" t="s">
        <v>1142</v>
      </c>
      <c r="G11" s="206" t="s">
        <v>1143</v>
      </c>
      <c r="H11" s="206" t="s">
        <v>1144</v>
      </c>
    </row>
    <row r="12" customFormat="false" ht="39.75" hidden="false" customHeight="true" outlineLevel="0" collapsed="false">
      <c r="A12" s="206" t="s">
        <v>1145</v>
      </c>
      <c r="B12" s="206" t="s">
        <v>1146</v>
      </c>
      <c r="C12" s="207" t="s">
        <v>1100</v>
      </c>
      <c r="D12" s="208" t="s">
        <v>1101</v>
      </c>
      <c r="E12" s="209" t="s">
        <v>1110</v>
      </c>
      <c r="F12" s="206" t="s">
        <v>1147</v>
      </c>
      <c r="G12" s="206" t="s">
        <v>1148</v>
      </c>
      <c r="H12" s="206" t="s">
        <v>1149</v>
      </c>
    </row>
    <row r="13" customFormat="false" ht="39.75" hidden="false" customHeight="true" outlineLevel="0" collapsed="false">
      <c r="A13" s="206" t="s">
        <v>1150</v>
      </c>
      <c r="B13" s="206" t="s">
        <v>1151</v>
      </c>
      <c r="C13" s="207" t="s">
        <v>1100</v>
      </c>
      <c r="D13" s="208" t="s">
        <v>1101</v>
      </c>
      <c r="E13" s="209" t="s">
        <v>1110</v>
      </c>
      <c r="F13" s="206" t="s">
        <v>1152</v>
      </c>
      <c r="G13" s="206" t="s">
        <v>1153</v>
      </c>
      <c r="H13" s="206" t="s">
        <v>1154</v>
      </c>
    </row>
    <row r="15" customFormat="false" ht="15" hidden="false" customHeight="true" outlineLevel="0" collapsed="false">
      <c r="A15" s="214" t="s">
        <v>1155</v>
      </c>
      <c r="B15" s="214"/>
      <c r="C15" s="214"/>
      <c r="D15" s="214"/>
    </row>
    <row r="16" customFormat="false" ht="15" hidden="false" customHeight="true" outlineLevel="0" collapsed="false">
      <c r="A16" s="215" t="s">
        <v>1109</v>
      </c>
      <c r="B16" s="216" t="n">
        <v>2</v>
      </c>
      <c r="C16" s="65" t="s">
        <v>1156</v>
      </c>
    </row>
    <row r="17" customFormat="false" ht="15" hidden="false" customHeight="true" outlineLevel="0" collapsed="false">
      <c r="A17" s="217" t="s">
        <v>1101</v>
      </c>
      <c r="B17" s="216" t="n">
        <v>4</v>
      </c>
      <c r="C17" s="65" t="s">
        <v>1156</v>
      </c>
    </row>
    <row r="18" customFormat="false" ht="15" hidden="false" customHeight="true" outlineLevel="0" collapsed="false">
      <c r="A18" s="218" t="s">
        <v>1128</v>
      </c>
      <c r="B18" s="216" t="n">
        <v>3</v>
      </c>
      <c r="C18" s="65" t="s">
        <v>1156</v>
      </c>
    </row>
    <row r="20" customFormat="false" ht="49.5" hidden="false" customHeight="true" outlineLevel="0" collapsed="false">
      <c r="A20" s="219" t="s">
        <v>1157</v>
      </c>
      <c r="B20" s="219"/>
      <c r="C20" s="219"/>
      <c r="D20" s="219"/>
      <c r="E20" s="219"/>
      <c r="F20" s="219"/>
      <c r="G20" s="219"/>
      <c r="H20" s="219"/>
    </row>
    <row r="22" customFormat="false" ht="15" hidden="false" customHeight="true" outlineLevel="0" collapsed="false">
      <c r="A22" s="97" t="s">
        <v>1158</v>
      </c>
      <c r="B22" s="97"/>
      <c r="C22" s="97"/>
      <c r="D22" s="97"/>
      <c r="E22" s="97"/>
      <c r="F22" s="97"/>
      <c r="G22" s="97"/>
      <c r="H22" s="97"/>
    </row>
  </sheetData>
  <mergeCells count="4">
    <mergeCell ref="A1:H1"/>
    <mergeCell ref="A15:D15"/>
    <mergeCell ref="A20:H20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2026-02-23T21:04:00Z</dcterms:created>
  <dc:creator>openpyxl</dc:creator>
  <dc:description/>
  <dc:language>en-US</dc:language>
  <cp:lastModifiedBy/>
  <dcterms:modified xsi:type="dcterms:W3CDTF">2026-02-24T04:09:01Z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